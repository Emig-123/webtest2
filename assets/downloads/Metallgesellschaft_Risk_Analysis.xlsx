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cde3489bdf7a84/Documents/"/>
    </mc:Choice>
  </mc:AlternateContent>
  <xr:revisionPtr revIDLastSave="535" documentId="8_{09B39C51-A8F2-4F33-BE39-02E5ED2CA50D}" xr6:coauthVersionLast="47" xr6:coauthVersionMax="47" xr10:uidLastSave="{A2E87FCC-8F3E-442E-BF3D-A747193C1571}"/>
  <bookViews>
    <workbookView xWindow="-98" yWindow="-98" windowWidth="19396" windowHeight="12196" firstSheet="6" activeTab="8" xr2:uid="{E4B87C01-B429-4240-B2CF-84B0BA15EC01}"/>
  </bookViews>
  <sheets>
    <sheet name="Price Risk" sheetId="1" r:id="rId1"/>
    <sheet name="Basis Risk" sheetId="2" r:id="rId2"/>
    <sheet name="Liquidity Risk" sheetId="3" r:id="rId3"/>
    <sheet name="Liquidity Squeeze Test" sheetId="6" r:id="rId4"/>
    <sheet name="Testing Button" sheetId="9" r:id="rId5"/>
    <sheet name="Loss At Risk Analysis" sheetId="11" r:id="rId6"/>
    <sheet name="StacknRoll Strategy Analysis" sheetId="7" r:id="rId7"/>
    <sheet name="Hedge Ratio Analysis" sheetId="8" r:id="rId8"/>
    <sheet name="Sensitivity Table" sheetId="10" r:id="rId9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8" l="1"/>
  <c r="B7" i="11"/>
  <c r="B10" i="8"/>
  <c r="B3" i="6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E30" i="3" s="1"/>
  <c r="C31" i="3"/>
  <c r="E31" i="3" s="1"/>
  <c r="C32" i="3"/>
  <c r="C33" i="3"/>
  <c r="C34" i="3"/>
  <c r="C35" i="3"/>
  <c r="C15" i="3"/>
  <c r="B9" i="3"/>
  <c r="D35" i="3"/>
  <c r="H30" i="1"/>
  <c r="H37" i="1"/>
  <c r="B5" i="1"/>
  <c r="B6" i="1" s="1"/>
  <c r="H39" i="1" s="1"/>
  <c r="C9" i="6"/>
  <c r="B5" i="7"/>
  <c r="B3" i="11"/>
  <c r="B4" i="11" s="1" a="1"/>
  <c r="B4" i="11" s="1"/>
  <c r="B3" i="7"/>
  <c r="B4" i="7" s="1"/>
  <c r="A16" i="8"/>
  <c r="A17" i="8" s="1"/>
  <c r="B11" i="8"/>
  <c r="B3" i="8"/>
  <c r="B8" i="7"/>
  <c r="C10" i="6"/>
  <c r="C11" i="6"/>
  <c r="C12" i="6"/>
  <c r="C13" i="6"/>
  <c r="C14" i="6"/>
  <c r="C15" i="6"/>
  <c r="C16" i="6"/>
  <c r="C17" i="6"/>
  <c r="C18" i="6"/>
  <c r="C19" i="6"/>
  <c r="C20" i="6"/>
  <c r="C21" i="6"/>
  <c r="B5" i="6"/>
  <c r="G15" i="3"/>
  <c r="F15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E16" i="3"/>
  <c r="E17" i="3"/>
  <c r="E19" i="3"/>
  <c r="E20" i="3"/>
  <c r="E32" i="3"/>
  <c r="E33" i="3"/>
  <c r="E35" i="3"/>
  <c r="B10" i="3"/>
  <c r="E15" i="3"/>
  <c r="B2" i="3"/>
  <c r="B6" i="3"/>
  <c r="B8" i="2"/>
  <c r="E10" i="2"/>
  <c r="B5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G44" i="2" s="1"/>
  <c r="H44" i="2" s="1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F37" i="2"/>
  <c r="G37" i="2" s="1"/>
  <c r="E37" i="2"/>
  <c r="F36" i="2"/>
  <c r="G36" i="2" s="1"/>
  <c r="H36" i="2" s="1"/>
  <c r="E36" i="2"/>
  <c r="F35" i="2"/>
  <c r="E35" i="2"/>
  <c r="F34" i="2"/>
  <c r="E34" i="2"/>
  <c r="F33" i="2"/>
  <c r="E33" i="2"/>
  <c r="F32" i="2"/>
  <c r="E32" i="2"/>
  <c r="F31" i="2"/>
  <c r="G31" i="2" s="1"/>
  <c r="H31" i="2" s="1"/>
  <c r="E31" i="2"/>
  <c r="F30" i="2"/>
  <c r="E30" i="2"/>
  <c r="F29" i="2"/>
  <c r="E29" i="2"/>
  <c r="F28" i="2"/>
  <c r="G28" i="2" s="1"/>
  <c r="H28" i="2" s="1"/>
  <c r="E28" i="2"/>
  <c r="F27" i="2"/>
  <c r="E27" i="2"/>
  <c r="F26" i="2"/>
  <c r="E26" i="2"/>
  <c r="F25" i="2"/>
  <c r="E25" i="2"/>
  <c r="F24" i="2"/>
  <c r="E24" i="2"/>
  <c r="F23" i="2"/>
  <c r="G23" i="2" s="1"/>
  <c r="H23" i="2" s="1"/>
  <c r="E23" i="2"/>
  <c r="F22" i="2"/>
  <c r="E22" i="2"/>
  <c r="F21" i="2"/>
  <c r="E21" i="2"/>
  <c r="F20" i="2"/>
  <c r="G20" i="2" s="1"/>
  <c r="H20" i="2" s="1"/>
  <c r="E20" i="2"/>
  <c r="F19" i="2"/>
  <c r="E19" i="2"/>
  <c r="F18" i="2"/>
  <c r="E18" i="2"/>
  <c r="F17" i="2"/>
  <c r="E17" i="2"/>
  <c r="F16" i="2"/>
  <c r="E16" i="2"/>
  <c r="F15" i="2"/>
  <c r="G15" i="2" s="1"/>
  <c r="H15" i="2" s="1"/>
  <c r="E15" i="2"/>
  <c r="F14" i="2"/>
  <c r="E14" i="2"/>
  <c r="F13" i="2"/>
  <c r="E13" i="2"/>
  <c r="F12" i="2"/>
  <c r="G12" i="2" s="1"/>
  <c r="H12" i="2" s="1"/>
  <c r="E12" i="2"/>
  <c r="F11" i="2"/>
  <c r="E11" i="2"/>
  <c r="F10" i="2"/>
  <c r="B6" i="2"/>
  <c r="I50" i="2" s="1"/>
  <c r="B4" i="2"/>
  <c r="B4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F10" i="1"/>
  <c r="E10" i="1"/>
  <c r="F9" i="6" l="1"/>
  <c r="G9" i="6"/>
  <c r="J22" i="6" s="1"/>
  <c r="L22" i="6" s="1"/>
  <c r="J27" i="6"/>
  <c r="L27" i="6" s="1"/>
  <c r="J12" i="6"/>
  <c r="L12" i="6" s="1"/>
  <c r="E9" i="6"/>
  <c r="F16" i="3"/>
  <c r="F17" i="3"/>
  <c r="G16" i="3"/>
  <c r="G17" i="3" s="1"/>
  <c r="B5" i="11" a="1"/>
  <c r="B5" i="11" s="1"/>
  <c r="A18" i="8"/>
  <c r="E23" i="3"/>
  <c r="E34" i="3"/>
  <c r="E18" i="3"/>
  <c r="E22" i="3"/>
  <c r="E29" i="3"/>
  <c r="E28" i="3"/>
  <c r="E27" i="3"/>
  <c r="E26" i="3"/>
  <c r="E21" i="3"/>
  <c r="E24" i="3"/>
  <c r="E25" i="3"/>
  <c r="G43" i="2"/>
  <c r="H43" i="2" s="1"/>
  <c r="G29" i="2"/>
  <c r="H29" i="2" s="1"/>
  <c r="G22" i="2"/>
  <c r="H22" i="2" s="1"/>
  <c r="G46" i="2"/>
  <c r="H46" i="2" s="1"/>
  <c r="G14" i="2"/>
  <c r="H14" i="2" s="1"/>
  <c r="G13" i="2"/>
  <c r="H13" i="2" s="1"/>
  <c r="G38" i="2"/>
  <c r="H38" i="2" s="1"/>
  <c r="G30" i="2"/>
  <c r="H30" i="2" s="1"/>
  <c r="G45" i="2"/>
  <c r="H45" i="2" s="1"/>
  <c r="G39" i="2"/>
  <c r="H39" i="2" s="1"/>
  <c r="G47" i="2"/>
  <c r="H47" i="2" s="1"/>
  <c r="G16" i="2"/>
  <c r="H16" i="2" s="1"/>
  <c r="G24" i="2"/>
  <c r="H24" i="2" s="1"/>
  <c r="G32" i="2"/>
  <c r="G40" i="2"/>
  <c r="H40" i="2" s="1"/>
  <c r="G25" i="2"/>
  <c r="H25" i="2" s="1"/>
  <c r="G18" i="2"/>
  <c r="H18" i="2" s="1"/>
  <c r="G49" i="2"/>
  <c r="H49" i="2" s="1"/>
  <c r="G33" i="2"/>
  <c r="H33" i="2" s="1"/>
  <c r="G10" i="2"/>
  <c r="H10" i="2" s="1"/>
  <c r="G41" i="2"/>
  <c r="H41" i="2" s="1"/>
  <c r="G17" i="2"/>
  <c r="H17" i="2" s="1"/>
  <c r="G48" i="2"/>
  <c r="H48" i="2" s="1"/>
  <c r="G26" i="2"/>
  <c r="H26" i="2" s="1"/>
  <c r="G34" i="2"/>
  <c r="H34" i="2" s="1"/>
  <c r="G11" i="2"/>
  <c r="H11" i="2" s="1"/>
  <c r="G19" i="2"/>
  <c r="H19" i="2" s="1"/>
  <c r="G42" i="2"/>
  <c r="H42" i="2" s="1"/>
  <c r="G50" i="2"/>
  <c r="H50" i="2" s="1"/>
  <c r="G27" i="2"/>
  <c r="H27" i="2" s="1"/>
  <c r="G35" i="2"/>
  <c r="H35" i="2" s="1"/>
  <c r="H32" i="2"/>
  <c r="H37" i="2"/>
  <c r="I15" i="2"/>
  <c r="I31" i="2"/>
  <c r="I22" i="2"/>
  <c r="I16" i="2"/>
  <c r="I48" i="2"/>
  <c r="I29" i="2"/>
  <c r="I23" i="2"/>
  <c r="I17" i="2"/>
  <c r="I33" i="2"/>
  <c r="I49" i="2"/>
  <c r="I14" i="2"/>
  <c r="I30" i="2"/>
  <c r="I46" i="2"/>
  <c r="I47" i="2"/>
  <c r="I12" i="2"/>
  <c r="I44" i="2"/>
  <c r="I38" i="2"/>
  <c r="I32" i="2"/>
  <c r="I13" i="2"/>
  <c r="I39" i="2"/>
  <c r="I20" i="2"/>
  <c r="I36" i="2"/>
  <c r="G21" i="2"/>
  <c r="H21" i="2" s="1"/>
  <c r="I27" i="2"/>
  <c r="I43" i="2"/>
  <c r="I24" i="2"/>
  <c r="I40" i="2"/>
  <c r="I21" i="2"/>
  <c r="I37" i="2"/>
  <c r="I28" i="2"/>
  <c r="I25" i="2"/>
  <c r="I41" i="2"/>
  <c r="I19" i="2"/>
  <c r="I35" i="2"/>
  <c r="I10" i="2"/>
  <c r="I45" i="2"/>
  <c r="I26" i="2"/>
  <c r="I42" i="2"/>
  <c r="I11" i="2"/>
  <c r="I18" i="2"/>
  <c r="I34" i="2"/>
  <c r="I25" i="1"/>
  <c r="G34" i="1"/>
  <c r="H34" i="1" s="1"/>
  <c r="G33" i="1"/>
  <c r="H33" i="1" s="1"/>
  <c r="G46" i="1"/>
  <c r="H46" i="1" s="1"/>
  <c r="G18" i="1"/>
  <c r="H18" i="1" s="1"/>
  <c r="G49" i="1"/>
  <c r="H49" i="1" s="1"/>
  <c r="G31" i="1"/>
  <c r="H31" i="1" s="1"/>
  <c r="G13" i="1"/>
  <c r="H13" i="1" s="1"/>
  <c r="G17" i="1"/>
  <c r="H17" i="1" s="1"/>
  <c r="G32" i="1"/>
  <c r="H32" i="1" s="1"/>
  <c r="G30" i="1"/>
  <c r="G29" i="1"/>
  <c r="H29" i="1" s="1"/>
  <c r="G50" i="1"/>
  <c r="H50" i="1" s="1"/>
  <c r="G14" i="1"/>
  <c r="H14" i="1" s="1"/>
  <c r="G45" i="1"/>
  <c r="H45" i="1" s="1"/>
  <c r="G12" i="1"/>
  <c r="H12" i="1" s="1"/>
  <c r="G27" i="1"/>
  <c r="H27" i="1" s="1"/>
  <c r="G44" i="1"/>
  <c r="H44" i="1" s="1"/>
  <c r="G28" i="1"/>
  <c r="H28" i="1" s="1"/>
  <c r="G43" i="1"/>
  <c r="H43" i="1" s="1"/>
  <c r="G11" i="1"/>
  <c r="H11" i="1" s="1"/>
  <c r="G10" i="1"/>
  <c r="H10" i="1" s="1"/>
  <c r="I38" i="1"/>
  <c r="I37" i="1"/>
  <c r="I24" i="1"/>
  <c r="I23" i="1"/>
  <c r="I21" i="1"/>
  <c r="G16" i="1"/>
  <c r="H16" i="1" s="1"/>
  <c r="I40" i="1"/>
  <c r="I39" i="1"/>
  <c r="I22" i="1"/>
  <c r="I35" i="1"/>
  <c r="I50" i="1"/>
  <c r="I18" i="1"/>
  <c r="I49" i="1"/>
  <c r="I48" i="1"/>
  <c r="G48" i="1"/>
  <c r="H48" i="1" s="1"/>
  <c r="I45" i="1"/>
  <c r="I29" i="1"/>
  <c r="I13" i="1"/>
  <c r="G47" i="1"/>
  <c r="H47" i="1" s="1"/>
  <c r="G15" i="1"/>
  <c r="H15" i="1" s="1"/>
  <c r="I36" i="1"/>
  <c r="I33" i="1"/>
  <c r="I20" i="1"/>
  <c r="I19" i="1"/>
  <c r="I32" i="1"/>
  <c r="I31" i="1"/>
  <c r="I46" i="1"/>
  <c r="I43" i="1"/>
  <c r="I27" i="1"/>
  <c r="I11" i="1"/>
  <c r="I47" i="1"/>
  <c r="I15" i="1"/>
  <c r="I14" i="1"/>
  <c r="I44" i="1"/>
  <c r="I12" i="1"/>
  <c r="I42" i="1"/>
  <c r="I26" i="1"/>
  <c r="I10" i="1"/>
  <c r="I34" i="1"/>
  <c r="I17" i="1"/>
  <c r="I16" i="1"/>
  <c r="I30" i="1"/>
  <c r="I28" i="1"/>
  <c r="I41" i="1"/>
  <c r="G42" i="1"/>
  <c r="H42" i="1" s="1"/>
  <c r="G41" i="1"/>
  <c r="H41" i="1" s="1"/>
  <c r="G25" i="1"/>
  <c r="H25" i="1" s="1"/>
  <c r="G40" i="1"/>
  <c r="H40" i="1" s="1"/>
  <c r="G24" i="1"/>
  <c r="H24" i="1" s="1"/>
  <c r="G39" i="1"/>
  <c r="G23" i="1"/>
  <c r="H23" i="1" s="1"/>
  <c r="G22" i="1"/>
  <c r="H22" i="1" s="1"/>
  <c r="G21" i="1"/>
  <c r="H21" i="1" s="1"/>
  <c r="G36" i="1"/>
  <c r="H36" i="1" s="1"/>
  <c r="G20" i="1"/>
  <c r="H20" i="1" s="1"/>
  <c r="G26" i="1"/>
  <c r="H26" i="1" s="1"/>
  <c r="G38" i="1"/>
  <c r="H38" i="1" s="1"/>
  <c r="G37" i="1"/>
  <c r="G35" i="1"/>
  <c r="H35" i="1" s="1"/>
  <c r="G19" i="1"/>
  <c r="J10" i="6" l="1"/>
  <c r="L10" i="6" s="1"/>
  <c r="J18" i="6"/>
  <c r="L18" i="6" s="1"/>
  <c r="J21" i="6"/>
  <c r="L21" i="6" s="1"/>
  <c r="J19" i="6"/>
  <c r="L19" i="6" s="1"/>
  <c r="J16" i="6"/>
  <c r="L16" i="6" s="1"/>
  <c r="J28" i="6"/>
  <c r="L28" i="6" s="1"/>
  <c r="J11" i="6"/>
  <c r="L11" i="6" s="1"/>
  <c r="J26" i="6"/>
  <c r="L26" i="6" s="1"/>
  <c r="J25" i="6"/>
  <c r="L25" i="6" s="1"/>
  <c r="J20" i="6"/>
  <c r="L20" i="6" s="1"/>
  <c r="J17" i="6"/>
  <c r="L17" i="6" s="1"/>
  <c r="J15" i="6"/>
  <c r="L15" i="6" s="1"/>
  <c r="J14" i="6"/>
  <c r="L14" i="6" s="1"/>
  <c r="J29" i="6"/>
  <c r="L29" i="6" s="1"/>
  <c r="J9" i="6"/>
  <c r="L9" i="6" s="1"/>
  <c r="M9" i="6" s="1"/>
  <c r="M10" i="6" s="1"/>
  <c r="M11" i="6" s="1"/>
  <c r="M12" i="6" s="1"/>
  <c r="M13" i="6" s="1"/>
  <c r="M14" i="6" s="1"/>
  <c r="M15" i="6" s="1"/>
  <c r="M16" i="6" s="1"/>
  <c r="M17" i="6" s="1"/>
  <c r="M18" i="6" s="1"/>
  <c r="M19" i="6" s="1"/>
  <c r="M20" i="6" s="1"/>
  <c r="M21" i="6" s="1"/>
  <c r="M22" i="6" s="1"/>
  <c r="M23" i="6" s="1"/>
  <c r="M24" i="6" s="1"/>
  <c r="M25" i="6" s="1"/>
  <c r="M26" i="6" s="1"/>
  <c r="M27" i="6" s="1"/>
  <c r="M28" i="6" s="1"/>
  <c r="J24" i="6"/>
  <c r="L24" i="6" s="1"/>
  <c r="J13" i="6"/>
  <c r="L13" i="6" s="1"/>
  <c r="J23" i="6"/>
  <c r="L23" i="6" s="1"/>
  <c r="F18" i="3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G18" i="3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B6" i="11"/>
  <c r="A19" i="8"/>
  <c r="B15" i="2"/>
  <c r="B10" i="1"/>
  <c r="H19" i="1"/>
  <c r="B8" i="11" l="1"/>
  <c r="A12" i="11" s="1"/>
  <c r="B12" i="11" s="1"/>
  <c r="M29" i="6"/>
  <c r="A20" i="8"/>
  <c r="B6" i="7" l="1"/>
  <c r="B13" i="7" s="1"/>
  <c r="C13" i="7" s="1"/>
  <c r="A21" i="8"/>
  <c r="B14" i="7" l="1"/>
  <c r="B16" i="7"/>
  <c r="B17" i="7"/>
  <c r="B18" i="7"/>
  <c r="B20" i="7"/>
  <c r="B21" i="7"/>
  <c r="B22" i="7"/>
  <c r="B24" i="7"/>
  <c r="B15" i="7"/>
  <c r="B19" i="7"/>
  <c r="B23" i="7"/>
  <c r="A22" i="8"/>
  <c r="F13" i="7" l="1"/>
  <c r="C15" i="7"/>
  <c r="C23" i="7"/>
  <c r="C19" i="7"/>
  <c r="C22" i="7"/>
  <c r="C18" i="7"/>
  <c r="C16" i="7"/>
  <c r="C14" i="7"/>
  <c r="C20" i="7"/>
  <c r="C17" i="7"/>
  <c r="A23" i="8"/>
  <c r="D22" i="7" l="1"/>
  <c r="E22" i="7" s="1"/>
  <c r="F22" i="7"/>
  <c r="G22" i="7" s="1"/>
  <c r="D19" i="7"/>
  <c r="E19" i="7" s="1"/>
  <c r="F19" i="7"/>
  <c r="G19" i="7" s="1"/>
  <c r="D17" i="7"/>
  <c r="E17" i="7" s="1"/>
  <c r="F17" i="7"/>
  <c r="G17" i="7" s="1"/>
  <c r="D15" i="7"/>
  <c r="E15" i="7" s="1"/>
  <c r="F15" i="7"/>
  <c r="G15" i="7" s="1"/>
  <c r="D18" i="7"/>
  <c r="E18" i="7" s="1"/>
  <c r="F18" i="7"/>
  <c r="G18" i="7" s="1"/>
  <c r="D14" i="7"/>
  <c r="E14" i="7" s="1"/>
  <c r="F14" i="7"/>
  <c r="G14" i="7" s="1"/>
  <c r="D16" i="7"/>
  <c r="E16" i="7" s="1"/>
  <c r="F16" i="7"/>
  <c r="G16" i="7" s="1"/>
  <c r="D23" i="7"/>
  <c r="E23" i="7" s="1"/>
  <c r="F23" i="7"/>
  <c r="G23" i="7" s="1"/>
  <c r="D20" i="7"/>
  <c r="E20" i="7" s="1"/>
  <c r="F20" i="7"/>
  <c r="G20" i="7" s="1"/>
  <c r="D13" i="7"/>
  <c r="E13" i="7" s="1"/>
  <c r="G13" i="7"/>
  <c r="C21" i="7"/>
  <c r="C24" i="7"/>
  <c r="A24" i="8"/>
  <c r="D21" i="7" l="1"/>
  <c r="E21" i="7" s="1"/>
  <c r="F21" i="7"/>
  <c r="G21" i="7" s="1"/>
  <c r="D24" i="7"/>
  <c r="E24" i="7" s="1"/>
  <c r="F24" i="7"/>
  <c r="G24" i="7" s="1"/>
  <c r="B2" i="8"/>
  <c r="A25" i="8"/>
  <c r="B35" i="8" l="1"/>
  <c r="B16" i="8"/>
  <c r="G25" i="7"/>
  <c r="E25" i="7"/>
  <c r="D16" i="8"/>
  <c r="D17" i="8"/>
  <c r="D33" i="8"/>
  <c r="D18" i="8"/>
  <c r="D34" i="8"/>
  <c r="D19" i="8"/>
  <c r="D35" i="8"/>
  <c r="D20" i="8"/>
  <c r="D21" i="8"/>
  <c r="D28" i="8"/>
  <c r="D22" i="8"/>
  <c r="D31" i="8"/>
  <c r="D23" i="8"/>
  <c r="D24" i="8"/>
  <c r="D25" i="8"/>
  <c r="D26" i="8"/>
  <c r="D27" i="8"/>
  <c r="D29" i="8"/>
  <c r="D30" i="8"/>
  <c r="D32" i="8"/>
  <c r="B24" i="8"/>
  <c r="B22" i="8"/>
  <c r="B15" i="8"/>
  <c r="B17" i="8"/>
  <c r="B18" i="8"/>
  <c r="B21" i="8"/>
  <c r="B19" i="8"/>
  <c r="B20" i="8"/>
  <c r="B23" i="8"/>
  <c r="A26" i="8"/>
  <c r="B25" i="8"/>
  <c r="H28" i="7" l="1"/>
  <c r="A27" i="8"/>
  <c r="B26" i="8"/>
  <c r="A28" i="8" l="1"/>
  <c r="B27" i="8"/>
  <c r="A29" i="8" l="1"/>
  <c r="B28" i="8"/>
  <c r="A30" i="8" l="1"/>
  <c r="B29" i="8"/>
  <c r="A31" i="8" l="1"/>
  <c r="B30" i="8"/>
  <c r="A32" i="8" l="1"/>
  <c r="B31" i="8"/>
  <c r="A33" i="8" l="1"/>
  <c r="B32" i="8"/>
  <c r="A34" i="8" l="1"/>
  <c r="B33" i="8"/>
  <c r="A35" i="8" l="1"/>
  <c r="B34" i="8"/>
  <c r="A13" i="11" l="1"/>
  <c r="B13" i="11" s="1"/>
  <c r="A16" i="11"/>
  <c r="B16" i="11" s="1"/>
  <c r="A22" i="11"/>
  <c r="B22" i="11" s="1"/>
  <c r="A14" i="11"/>
  <c r="B14" i="11" s="1"/>
  <c r="A15" i="11"/>
  <c r="B15" i="11" s="1"/>
  <c r="A17" i="11"/>
  <c r="B17" i="11" s="1"/>
  <c r="A18" i="11"/>
  <c r="B18" i="11" s="1"/>
  <c r="A19" i="11"/>
  <c r="B19" i="11" s="1"/>
  <c r="A20" i="11"/>
  <c r="B20" i="11" s="1"/>
  <c r="A21" i="11"/>
  <c r="B21" i="11" s="1"/>
  <c r="A23" i="11"/>
  <c r="B23" i="11" s="1"/>
  <c r="F12" i="11" l="1"/>
  <c r="B6" i="8" s="1"/>
  <c r="D15" i="8" s="1"/>
  <c r="E12" i="11"/>
  <c r="D12" i="11"/>
  <c r="C16" i="8" l="1"/>
  <c r="E16" i="8" s="1"/>
  <c r="F16" i="8" s="1"/>
  <c r="G16" i="8" s="1"/>
  <c r="G16" i="10" s="1"/>
  <c r="C35" i="8"/>
  <c r="E35" i="8" s="1"/>
  <c r="F35" i="8" s="1"/>
  <c r="G35" i="8" s="1"/>
  <c r="C15" i="8"/>
  <c r="E15" i="8" s="1"/>
  <c r="F15" i="8" s="1"/>
  <c r="G15" i="8" s="1"/>
  <c r="C17" i="8"/>
  <c r="E17" i="8" s="1"/>
  <c r="F17" i="8" s="1"/>
  <c r="G17" i="8" s="1"/>
  <c r="D17" i="10" s="1"/>
  <c r="C18" i="8"/>
  <c r="E18" i="8" s="1"/>
  <c r="F18" i="8" s="1"/>
  <c r="G18" i="8" s="1"/>
  <c r="C19" i="8"/>
  <c r="E19" i="8" s="1"/>
  <c r="F19" i="8" s="1"/>
  <c r="G19" i="8" s="1"/>
  <c r="I19" i="10" s="1"/>
  <c r="C20" i="8"/>
  <c r="E20" i="8" s="1"/>
  <c r="F20" i="8" s="1"/>
  <c r="G20" i="8" s="1"/>
  <c r="C21" i="8"/>
  <c r="E21" i="8" s="1"/>
  <c r="F21" i="8" s="1"/>
  <c r="G21" i="8" s="1"/>
  <c r="J21" i="10" s="1"/>
  <c r="C22" i="8"/>
  <c r="E22" i="8" s="1"/>
  <c r="F22" i="8" s="1"/>
  <c r="G22" i="8" s="1"/>
  <c r="C23" i="8"/>
  <c r="E23" i="8" s="1"/>
  <c r="F23" i="8" s="1"/>
  <c r="G23" i="8" s="1"/>
  <c r="C24" i="8"/>
  <c r="E24" i="8" s="1"/>
  <c r="F24" i="8" s="1"/>
  <c r="G24" i="8" s="1"/>
  <c r="C25" i="8"/>
  <c r="E25" i="8" s="1"/>
  <c r="F25" i="8" s="1"/>
  <c r="G25" i="8" s="1"/>
  <c r="C26" i="8"/>
  <c r="E26" i="8" s="1"/>
  <c r="F26" i="8" s="1"/>
  <c r="G26" i="8" s="1"/>
  <c r="C27" i="8"/>
  <c r="E27" i="8" s="1"/>
  <c r="F27" i="8" s="1"/>
  <c r="G27" i="8" s="1"/>
  <c r="C28" i="8"/>
  <c r="E28" i="8" s="1"/>
  <c r="F28" i="8" s="1"/>
  <c r="G28" i="8" s="1"/>
  <c r="C29" i="8"/>
  <c r="E29" i="8" s="1"/>
  <c r="F29" i="8" s="1"/>
  <c r="G29" i="8" s="1"/>
  <c r="C30" i="8"/>
  <c r="E30" i="8" s="1"/>
  <c r="F30" i="8" s="1"/>
  <c r="G30" i="8" s="1"/>
  <c r="C31" i="8"/>
  <c r="E31" i="8" s="1"/>
  <c r="F31" i="8" s="1"/>
  <c r="G31" i="8" s="1"/>
  <c r="C32" i="8"/>
  <c r="E32" i="8" s="1"/>
  <c r="F32" i="8" s="1"/>
  <c r="G32" i="8" s="1"/>
  <c r="C33" i="8"/>
  <c r="E33" i="8" s="1"/>
  <c r="F33" i="8" s="1"/>
  <c r="G33" i="8" s="1"/>
  <c r="C34" i="8"/>
  <c r="E34" i="8" s="1"/>
  <c r="F34" i="8" s="1"/>
  <c r="G34" i="8" s="1"/>
  <c r="C29" i="10" l="1"/>
  <c r="D29" i="10"/>
  <c r="T29" i="10"/>
  <c r="E29" i="10"/>
  <c r="U29" i="10"/>
  <c r="F29" i="10"/>
  <c r="V29" i="10"/>
  <c r="G29" i="10"/>
  <c r="W29" i="10"/>
  <c r="H29" i="10"/>
  <c r="I29" i="10"/>
  <c r="Q29" i="10"/>
  <c r="J29" i="10"/>
  <c r="O29" i="10"/>
  <c r="S29" i="10"/>
  <c r="K29" i="10"/>
  <c r="P29" i="10"/>
  <c r="R29" i="10"/>
  <c r="L29" i="10"/>
  <c r="M29" i="10"/>
  <c r="N29" i="10"/>
  <c r="D19" i="10"/>
  <c r="T19" i="10"/>
  <c r="O19" i="10"/>
  <c r="E19" i="10"/>
  <c r="U19" i="10"/>
  <c r="F19" i="10"/>
  <c r="V19" i="10"/>
  <c r="G19" i="10"/>
  <c r="W19" i="10"/>
  <c r="P19" i="10"/>
  <c r="S19" i="10"/>
  <c r="H19" i="10"/>
  <c r="Q19" i="10"/>
  <c r="J19" i="10"/>
  <c r="K19" i="10"/>
  <c r="L19" i="10"/>
  <c r="R19" i="10"/>
  <c r="M19" i="10"/>
  <c r="N19" i="10"/>
  <c r="C19" i="10"/>
  <c r="D34" i="10"/>
  <c r="T34" i="10"/>
  <c r="W34" i="10"/>
  <c r="M34" i="10"/>
  <c r="O34" i="10"/>
  <c r="Q34" i="10"/>
  <c r="S34" i="10"/>
  <c r="E34" i="10"/>
  <c r="U34" i="10"/>
  <c r="H34" i="10"/>
  <c r="J34" i="10"/>
  <c r="L34" i="10"/>
  <c r="N34" i="10"/>
  <c r="P34" i="10"/>
  <c r="R34" i="10"/>
  <c r="F34" i="10"/>
  <c r="V34" i="10"/>
  <c r="G34" i="10"/>
  <c r="I34" i="10"/>
  <c r="K34" i="10"/>
  <c r="C34" i="10"/>
  <c r="D33" i="10"/>
  <c r="T33" i="10"/>
  <c r="E33" i="10"/>
  <c r="U33" i="10"/>
  <c r="W33" i="10"/>
  <c r="I33" i="10"/>
  <c r="K33" i="10"/>
  <c r="M33" i="10"/>
  <c r="O33" i="10"/>
  <c r="S33" i="10"/>
  <c r="F33" i="10"/>
  <c r="V33" i="10"/>
  <c r="G33" i="10"/>
  <c r="H33" i="10"/>
  <c r="J33" i="10"/>
  <c r="L33" i="10"/>
  <c r="N33" i="10"/>
  <c r="P33" i="10"/>
  <c r="Q33" i="10"/>
  <c r="R33" i="10"/>
  <c r="C33" i="10"/>
  <c r="D32" i="10"/>
  <c r="T32" i="10"/>
  <c r="F32" i="10"/>
  <c r="G32" i="10"/>
  <c r="I32" i="10"/>
  <c r="L32" i="10"/>
  <c r="Q32" i="10"/>
  <c r="S32" i="10"/>
  <c r="E32" i="10"/>
  <c r="U32" i="10"/>
  <c r="V32" i="10"/>
  <c r="W32" i="10"/>
  <c r="K32" i="10"/>
  <c r="M32" i="10"/>
  <c r="O32" i="10"/>
  <c r="J32" i="10"/>
  <c r="N32" i="10"/>
  <c r="P32" i="10"/>
  <c r="R32" i="10"/>
  <c r="H32" i="10"/>
  <c r="C32" i="10"/>
  <c r="C31" i="10"/>
  <c r="D31" i="10"/>
  <c r="T31" i="10"/>
  <c r="H31" i="10"/>
  <c r="J31" i="10"/>
  <c r="M31" i="10"/>
  <c r="O31" i="10"/>
  <c r="P31" i="10"/>
  <c r="E31" i="10"/>
  <c r="U31" i="10"/>
  <c r="G31" i="10"/>
  <c r="L31" i="10"/>
  <c r="N31" i="10"/>
  <c r="Q31" i="10"/>
  <c r="R31" i="10"/>
  <c r="S31" i="10"/>
  <c r="F31" i="10"/>
  <c r="V31" i="10"/>
  <c r="W31" i="10"/>
  <c r="I31" i="10"/>
  <c r="K31" i="10"/>
  <c r="D30" i="10"/>
  <c r="T30" i="10"/>
  <c r="M30" i="10"/>
  <c r="Q30" i="10"/>
  <c r="S30" i="10"/>
  <c r="E30" i="10"/>
  <c r="U30" i="10"/>
  <c r="G30" i="10"/>
  <c r="P30" i="10"/>
  <c r="R30" i="10"/>
  <c r="F30" i="10"/>
  <c r="V30" i="10"/>
  <c r="W30" i="10"/>
  <c r="J30" i="10"/>
  <c r="L30" i="10"/>
  <c r="O30" i="10"/>
  <c r="H30" i="10"/>
  <c r="I30" i="10"/>
  <c r="K30" i="10"/>
  <c r="N30" i="10"/>
  <c r="C30" i="10"/>
  <c r="C28" i="10"/>
  <c r="D28" i="10"/>
  <c r="T28" i="10"/>
  <c r="E28" i="10"/>
  <c r="U28" i="10"/>
  <c r="G28" i="10"/>
  <c r="M28" i="10"/>
  <c r="O28" i="10"/>
  <c r="Q28" i="10"/>
  <c r="S28" i="10"/>
  <c r="F28" i="10"/>
  <c r="V28" i="10"/>
  <c r="W28" i="10"/>
  <c r="N28" i="10"/>
  <c r="P28" i="10"/>
  <c r="R28" i="10"/>
  <c r="H28" i="10"/>
  <c r="I28" i="10"/>
  <c r="J28" i="10"/>
  <c r="K28" i="10"/>
  <c r="L28" i="10"/>
  <c r="D27" i="10"/>
  <c r="T27" i="10"/>
  <c r="W27" i="10"/>
  <c r="M27" i="10"/>
  <c r="E27" i="10"/>
  <c r="U27" i="10"/>
  <c r="G27" i="10"/>
  <c r="H27" i="10"/>
  <c r="I27" i="10"/>
  <c r="J27" i="10"/>
  <c r="K27" i="10"/>
  <c r="N27" i="10"/>
  <c r="P27" i="10"/>
  <c r="R27" i="10"/>
  <c r="S27" i="10"/>
  <c r="F27" i="10"/>
  <c r="V27" i="10"/>
  <c r="L27" i="10"/>
  <c r="O27" i="10"/>
  <c r="Q27" i="10"/>
  <c r="C27" i="10"/>
  <c r="D26" i="10"/>
  <c r="T26" i="10"/>
  <c r="L26" i="10"/>
  <c r="O26" i="10"/>
  <c r="R26" i="10"/>
  <c r="E26" i="10"/>
  <c r="U26" i="10"/>
  <c r="H26" i="10"/>
  <c r="I26" i="10"/>
  <c r="M26" i="10"/>
  <c r="P26" i="10"/>
  <c r="S26" i="10"/>
  <c r="F26" i="10"/>
  <c r="V26" i="10"/>
  <c r="J26" i="10"/>
  <c r="Q26" i="10"/>
  <c r="G26" i="10"/>
  <c r="W26" i="10"/>
  <c r="K26" i="10"/>
  <c r="N26" i="10"/>
  <c r="C26" i="10"/>
  <c r="C25" i="10"/>
  <c r="D25" i="10"/>
  <c r="T25" i="10"/>
  <c r="E25" i="10"/>
  <c r="U25" i="10"/>
  <c r="I25" i="10"/>
  <c r="J25" i="10"/>
  <c r="L25" i="10"/>
  <c r="N25" i="10"/>
  <c r="P25" i="10"/>
  <c r="S25" i="10"/>
  <c r="Q25" i="10"/>
  <c r="F25" i="10"/>
  <c r="V25" i="10"/>
  <c r="G25" i="10"/>
  <c r="W25" i="10"/>
  <c r="H25" i="10"/>
  <c r="K25" i="10"/>
  <c r="M25" i="10"/>
  <c r="O25" i="10"/>
  <c r="R25" i="10"/>
  <c r="D24" i="10"/>
  <c r="T24" i="10"/>
  <c r="E24" i="10"/>
  <c r="U24" i="10"/>
  <c r="G24" i="10"/>
  <c r="H24" i="10"/>
  <c r="K24" i="10"/>
  <c r="M24" i="10"/>
  <c r="O24" i="10"/>
  <c r="Q24" i="10"/>
  <c r="S24" i="10"/>
  <c r="F24" i="10"/>
  <c r="V24" i="10"/>
  <c r="W24" i="10"/>
  <c r="I24" i="10"/>
  <c r="J24" i="10"/>
  <c r="L24" i="10"/>
  <c r="N24" i="10"/>
  <c r="P24" i="10"/>
  <c r="R24" i="10"/>
  <c r="C24" i="10"/>
  <c r="D23" i="10"/>
  <c r="T23" i="10"/>
  <c r="J23" i="10"/>
  <c r="M23" i="10"/>
  <c r="Q23" i="10"/>
  <c r="S23" i="10"/>
  <c r="E23" i="10"/>
  <c r="U23" i="10"/>
  <c r="W23" i="10"/>
  <c r="I23" i="10"/>
  <c r="F23" i="10"/>
  <c r="V23" i="10"/>
  <c r="G23" i="10"/>
  <c r="H23" i="10"/>
  <c r="K23" i="10"/>
  <c r="L23" i="10"/>
  <c r="N23" i="10"/>
  <c r="O23" i="10"/>
  <c r="P23" i="10"/>
  <c r="R23" i="10"/>
  <c r="C23" i="10"/>
  <c r="D22" i="10"/>
  <c r="T22" i="10"/>
  <c r="H22" i="10"/>
  <c r="J22" i="10"/>
  <c r="L22" i="10"/>
  <c r="N22" i="10"/>
  <c r="Q22" i="10"/>
  <c r="E22" i="10"/>
  <c r="U22" i="10"/>
  <c r="G22" i="10"/>
  <c r="K22" i="10"/>
  <c r="O22" i="10"/>
  <c r="R22" i="10"/>
  <c r="F22" i="10"/>
  <c r="V22" i="10"/>
  <c r="W22" i="10"/>
  <c r="I22" i="10"/>
  <c r="M22" i="10"/>
  <c r="P22" i="10"/>
  <c r="S22" i="10"/>
  <c r="C22" i="10"/>
  <c r="C21" i="10"/>
  <c r="D21" i="10"/>
  <c r="T21" i="10"/>
  <c r="K21" i="10"/>
  <c r="M21" i="10"/>
  <c r="P21" i="10"/>
  <c r="S21" i="10"/>
  <c r="E21" i="10"/>
  <c r="U21" i="10"/>
  <c r="N21" i="10"/>
  <c r="Q21" i="10"/>
  <c r="F21" i="10"/>
  <c r="V21" i="10"/>
  <c r="O21" i="10"/>
  <c r="R21" i="10"/>
  <c r="G21" i="10"/>
  <c r="W21" i="10"/>
  <c r="H21" i="10"/>
  <c r="I21" i="10"/>
  <c r="L21" i="10"/>
  <c r="C18" i="10"/>
  <c r="D18" i="10"/>
  <c r="T18" i="10"/>
  <c r="K18" i="10"/>
  <c r="Q18" i="10"/>
  <c r="E18" i="10"/>
  <c r="U18" i="10"/>
  <c r="W18" i="10"/>
  <c r="N18" i="10"/>
  <c r="P18" i="10"/>
  <c r="F18" i="10"/>
  <c r="V18" i="10"/>
  <c r="G18" i="10"/>
  <c r="J18" i="10"/>
  <c r="M18" i="10"/>
  <c r="R18" i="10"/>
  <c r="H18" i="10"/>
  <c r="I18" i="10"/>
  <c r="L18" i="10"/>
  <c r="O18" i="10"/>
  <c r="S18" i="10"/>
  <c r="C17" i="10"/>
  <c r="M16" i="10"/>
  <c r="V16" i="10"/>
  <c r="N16" i="10"/>
  <c r="U16" i="10"/>
  <c r="O16" i="10"/>
  <c r="P16" i="10"/>
  <c r="T16" i="10"/>
  <c r="W16" i="10"/>
  <c r="Q16" i="10"/>
  <c r="R16" i="10"/>
  <c r="S16" i="10"/>
  <c r="C16" i="10"/>
  <c r="D16" i="10"/>
  <c r="F16" i="10"/>
  <c r="I16" i="10"/>
  <c r="E16" i="10"/>
  <c r="H16" i="10"/>
  <c r="J16" i="10"/>
  <c r="K16" i="10"/>
  <c r="L16" i="10"/>
  <c r="D35" i="10" l="1"/>
  <c r="T35" i="10"/>
  <c r="V35" i="10"/>
  <c r="G35" i="10"/>
  <c r="K35" i="10"/>
  <c r="N35" i="10"/>
  <c r="Q35" i="10"/>
  <c r="R35" i="10"/>
  <c r="E35" i="10"/>
  <c r="U35" i="10"/>
  <c r="F35" i="10"/>
  <c r="W35" i="10"/>
  <c r="L35" i="10"/>
  <c r="O35" i="10"/>
  <c r="S35" i="10"/>
  <c r="H35" i="10"/>
  <c r="I35" i="10"/>
  <c r="J35" i="10"/>
  <c r="M35" i="10"/>
  <c r="P35" i="10"/>
  <c r="C35" i="10"/>
  <c r="C20" i="10"/>
  <c r="D20" i="10"/>
  <c r="T20" i="10"/>
  <c r="W20" i="10"/>
  <c r="I20" i="10"/>
  <c r="N20" i="10"/>
  <c r="P20" i="10"/>
  <c r="S20" i="10"/>
  <c r="E20" i="10"/>
  <c r="U20" i="10"/>
  <c r="G20" i="10"/>
  <c r="K20" i="10"/>
  <c r="L20" i="10"/>
  <c r="O20" i="10"/>
  <c r="R20" i="10"/>
  <c r="F20" i="10"/>
  <c r="V20" i="10"/>
  <c r="H20" i="10"/>
  <c r="J20" i="10"/>
  <c r="M20" i="10"/>
  <c r="Q20" i="10"/>
  <c r="T17" i="10"/>
  <c r="V17" i="10"/>
  <c r="W17" i="10"/>
  <c r="M17" i="10"/>
  <c r="P17" i="10"/>
  <c r="E17" i="10"/>
  <c r="U17" i="10"/>
  <c r="F17" i="10"/>
  <c r="G17" i="10"/>
  <c r="O17" i="10"/>
  <c r="S17" i="10"/>
  <c r="H17" i="10"/>
  <c r="K17" i="10"/>
  <c r="R17" i="10"/>
  <c r="I17" i="10"/>
  <c r="J17" i="10"/>
  <c r="L17" i="10"/>
  <c r="N17" i="10"/>
  <c r="Q17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<sst xmlns="http://schemas.openxmlformats.org/spreadsheetml/2006/main" count="152" uniqueCount="123">
  <si>
    <t>Quantity</t>
  </si>
  <si>
    <t>Label</t>
  </si>
  <si>
    <t>Example</t>
  </si>
  <si>
    <t>P&amp;L</t>
  </si>
  <si>
    <t>Mismatch Δ(S−F) ($/bbl)</t>
  </si>
  <si>
    <t>Upper Bound</t>
  </si>
  <si>
    <t>Lower</t>
  </si>
  <si>
    <t>Upper</t>
  </si>
  <si>
    <t>Prob</t>
  </si>
  <si>
    <t>G Total</t>
  </si>
  <si>
    <t>Expected P&amp;L</t>
  </si>
  <si>
    <t>Mean</t>
  </si>
  <si>
    <t>Monthly Sigma</t>
  </si>
  <si>
    <t>Interval</t>
  </si>
  <si>
    <t>Hedge Ratio</t>
  </si>
  <si>
    <t>Daily Sigma</t>
  </si>
  <si>
    <t>Total Volume</t>
  </si>
  <si>
    <t>Daily Volume</t>
  </si>
  <si>
    <t>N</t>
  </si>
  <si>
    <t>Monthly Volume</t>
  </si>
  <si>
    <t>Months Stacked</t>
  </si>
  <si>
    <t>Horizon</t>
  </si>
  <si>
    <t>Starting Liquidity</t>
  </si>
  <si>
    <t>Hedged Stack Volume</t>
  </si>
  <si>
    <t>Futures Contracts</t>
  </si>
  <si>
    <t>Contract Size (bbl)</t>
  </si>
  <si>
    <t>Months Stacked (k)</t>
  </si>
  <si>
    <t>Day</t>
  </si>
  <si>
    <t>ΔF ($/bbl)</t>
  </si>
  <si>
    <t>VM cash ($)</t>
  </si>
  <si>
    <t>Customer inflow ($)</t>
  </si>
  <si>
    <t>Net flow ($)</t>
  </si>
  <si>
    <t xml:space="preserve">Day	</t>
  </si>
  <si>
    <t>Commercial Margin</t>
  </si>
  <si>
    <t>Collection Factor</t>
  </si>
  <si>
    <t>Cash Balance</t>
  </si>
  <si>
    <t>Running Min.</t>
  </si>
  <si>
    <t>LAR</t>
  </si>
  <si>
    <t>Hedged Barrels</t>
  </si>
  <si>
    <t>Trading Days</t>
  </si>
  <si>
    <t>Monthly Change</t>
  </si>
  <si>
    <t>VM Cash</t>
  </si>
  <si>
    <t>Expected VM</t>
  </si>
  <si>
    <t>StdDev VM</t>
  </si>
  <si>
    <t>LAR 5%</t>
  </si>
  <si>
    <t>Counter Party Risk</t>
  </si>
  <si>
    <t>Daily LAR 5%</t>
  </si>
  <si>
    <t>Inflow</t>
  </si>
  <si>
    <t>Net Cash</t>
  </si>
  <si>
    <t>Liquidity Balance</t>
  </si>
  <si>
    <t>Starting Liquid.</t>
  </si>
  <si>
    <t>Spot</t>
  </si>
  <si>
    <t>Next Futures</t>
  </si>
  <si>
    <t>Monthly Return</t>
  </si>
  <si>
    <t>Fixed Price (bbl)</t>
  </si>
  <si>
    <t>Month</t>
  </si>
  <si>
    <t>Front Price</t>
  </si>
  <si>
    <t>Next-Month</t>
  </si>
  <si>
    <t>Roll P&amp;L</t>
  </si>
  <si>
    <t>Delivery P&amp;L</t>
  </si>
  <si>
    <t>Net Total P&amp;L</t>
  </si>
  <si>
    <t>Total Delivery P&amp;L</t>
  </si>
  <si>
    <t>Total Roll P&amp;L</t>
  </si>
  <si>
    <t>Volatility</t>
  </si>
  <si>
    <t xml:space="preserve"> </t>
  </si>
  <si>
    <t>Backwardation Spread</t>
  </si>
  <si>
    <t>Funding Rate (annual)</t>
  </si>
  <si>
    <t>Hedge Ratio Grid Step</t>
  </si>
  <si>
    <t xml:space="preserve">Available Liquidity </t>
  </si>
  <si>
    <t>Monthly Funding Rate</t>
  </si>
  <si>
    <t>H</t>
  </si>
  <si>
    <t>RollProfit($)</t>
  </si>
  <si>
    <t>LaR_h($)</t>
  </si>
  <si>
    <t>FundingCost($)</t>
  </si>
  <si>
    <t>NetProfit($)</t>
  </si>
  <si>
    <t>Backwardation</t>
  </si>
  <si>
    <t>Futures Price</t>
  </si>
  <si>
    <t>H/Fnext</t>
  </si>
  <si>
    <t>75</t>
  </si>
  <si>
    <t>75.5</t>
  </si>
  <si>
    <t>76</t>
  </si>
  <si>
    <t>76.5</t>
  </si>
  <si>
    <t>77</t>
  </si>
  <si>
    <t>77.5</t>
  </si>
  <si>
    <t>78</t>
  </si>
  <si>
    <t>78.5</t>
  </si>
  <si>
    <t>79</t>
  </si>
  <si>
    <t>79.5</t>
  </si>
  <si>
    <t>80</t>
  </si>
  <si>
    <t>80.5</t>
  </si>
  <si>
    <t>81</t>
  </si>
  <si>
    <t>81.5</t>
  </si>
  <si>
    <t>82</t>
  </si>
  <si>
    <t>82.5</t>
  </si>
  <si>
    <t>83</t>
  </si>
  <si>
    <t>83.5</t>
  </si>
  <si>
    <t>84</t>
  </si>
  <si>
    <t>84.5</t>
  </si>
  <si>
    <t>85</t>
  </si>
  <si>
    <t>Adjust the Calculations of the Following sheets by changing the futures price, be reasonable with the number Spot Price is about 80</t>
  </si>
  <si>
    <t>Contango</t>
  </si>
  <si>
    <t>Basis Ratio</t>
  </si>
  <si>
    <t>Basis Range</t>
  </si>
  <si>
    <t>Sigma Range</t>
  </si>
  <si>
    <t>Lower Bound</t>
  </si>
  <si>
    <t>Random Sigma</t>
  </si>
  <si>
    <t>Standard Deviation</t>
  </si>
  <si>
    <t>.01-.1</t>
  </si>
  <si>
    <t>0.1-0.22</t>
  </si>
  <si>
    <t>.22-.4</t>
  </si>
  <si>
    <t>&gt;=1.05</t>
  </si>
  <si>
    <t>Volume</t>
  </si>
  <si>
    <t xml:space="preserve">Daily </t>
  </si>
  <si>
    <t>CashFlow</t>
  </si>
  <si>
    <t>ShortFall/(Margin Call)</t>
  </si>
  <si>
    <t>Hypothetical Spot at LAR 5%</t>
  </si>
  <si>
    <t>&lt;0.9875</t>
  </si>
  <si>
    <t>1–1.05</t>
  </si>
  <si>
    <t>Monthly SD</t>
  </si>
  <si>
    <t>Year</t>
  </si>
  <si>
    <t>Expected CF</t>
  </si>
  <si>
    <t>Delivery</t>
  </si>
  <si>
    <t xml:space="preserve">Margin Call uses available liquidity for the month to simplify, $1bil/120 months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</si>
</sst>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%"/>
    <numFmt numFmtId="165" formatCode="0.000000%"/>
    <numFmt numFmtId="166" formatCode="_(&quot;$&quot;* #,##0.0_);_(&quot;$&quot;* \(#,##0.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64" fontId="0" fillId="0" borderId="0" xfId="2" applyNumberFormat="1" applyFont="1"/>
    <xf numFmtId="165" fontId="0" fillId="0" borderId="0" xfId="2" applyNumberFormat="1" applyFont="1"/>
    <xf numFmtId="44" fontId="0" fillId="0" borderId="0" xfId="1" applyFont="1"/>
    <xf numFmtId="2" fontId="0" fillId="0" borderId="0" xfId="1" applyNumberFormat="1" applyFont="1"/>
    <xf numFmtId="166" fontId="0" fillId="0" borderId="0" xfId="1" applyNumberFormat="1" applyFont="1"/>
    <xf numFmtId="44" fontId="0" fillId="0" borderId="0" xfId="0" applyNumberFormat="1"/>
    <xf numFmtId="0" fontId="0" fillId="0" borderId="1" xfId="0" applyBorder="1"/>
    <xf numFmtId="44" fontId="0" fillId="0" borderId="1" xfId="1" applyFont="1" applyBorder="1"/>
    <xf numFmtId="44" fontId="2" fillId="0" borderId="0" xfId="0" applyNumberFormat="1" applyFont="1"/>
    <xf numFmtId="0" fontId="0" fillId="4" borderId="0" xfId="0" applyFill="1" applyAlignment="1">
      <alignment horizontal="center"/>
    </xf>
    <xf numFmtId="44" fontId="2" fillId="0" borderId="0" xfId="1" applyFont="1"/>
    <xf numFmtId="44" fontId="0" fillId="0" borderId="0" xfId="1" applyFont="1" applyAlignment="1">
      <alignment horizontal="left" vertic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2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1"/>
        <c:ser>
          <c:idx val="0"/>
          <c:order val="0"/>
          <c:tx>
            <c:strRef>
              <c:f>'Sensitivity Table'!$B$15</c:f>
              <c:strCache>
                <c:ptCount val="1"/>
                <c:pt idx="0">
                  <c:v>H/Fnext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B7-478E-A8B9-13A02917C12C}"/>
            </c:ext>
          </c:extLst>
        </c:ser>
        <c:ser>
          <c:idx val="1"/>
          <c:order val="1"/>
          <c:tx>
            <c:strRef>
              <c:f>'Sensitivity Table'!$C$15</c:f>
              <c:strCache>
                <c:ptCount val="1"/>
                <c:pt idx="0">
                  <c:v>75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'Sensitivity Table'!$C$16:$C$35</c:f>
              <c:numCache>
                <c:formatCode>_("$"* #,##0.00_);_("$"* \(#,##0.00\);_("$"* "-"??_);_(@_)</c:formatCode>
                <c:ptCount val="20"/>
                <c:pt idx="0">
                  <c:v>6647737.7821927099</c:v>
                </c:pt>
                <c:pt idx="1">
                  <c:v>6628808.9143854184</c:v>
                </c:pt>
                <c:pt idx="2">
                  <c:v>6609880.0465781279</c:v>
                </c:pt>
                <c:pt idx="3">
                  <c:v>6590951.1787708374</c:v>
                </c:pt>
                <c:pt idx="4">
                  <c:v>6572022.3109635459</c:v>
                </c:pt>
                <c:pt idx="5">
                  <c:v>6553093.4431562554</c:v>
                </c:pt>
                <c:pt idx="6">
                  <c:v>6534164.575348964</c:v>
                </c:pt>
                <c:pt idx="7">
                  <c:v>6515235.7075416744</c:v>
                </c:pt>
                <c:pt idx="8">
                  <c:v>6496306.8397343829</c:v>
                </c:pt>
                <c:pt idx="9">
                  <c:v>6477377.9719270915</c:v>
                </c:pt>
                <c:pt idx="10">
                  <c:v>6458449.104119801</c:v>
                </c:pt>
                <c:pt idx="11">
                  <c:v>6439520.2363125104</c:v>
                </c:pt>
                <c:pt idx="12">
                  <c:v>6420591.3685052199</c:v>
                </c:pt>
                <c:pt idx="13">
                  <c:v>6401662.5006979294</c:v>
                </c:pt>
                <c:pt idx="14">
                  <c:v>6382733.632890638</c:v>
                </c:pt>
                <c:pt idx="15">
                  <c:v>6363804.7650833465</c:v>
                </c:pt>
                <c:pt idx="16">
                  <c:v>6344875.897276056</c:v>
                </c:pt>
                <c:pt idx="17">
                  <c:v>6325947.0294687655</c:v>
                </c:pt>
                <c:pt idx="18">
                  <c:v>6307018.161661475</c:v>
                </c:pt>
                <c:pt idx="19">
                  <c:v>6288089.2938541844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B7-478E-A8B9-13A02917C12C}"/>
            </c:ext>
          </c:extLst>
        </c:ser>
        <c:ser>
          <c:idx val="2"/>
          <c:order val="2"/>
          <c:tx>
            <c:strRef>
              <c:f>'Sensitivity Table'!$D$15</c:f>
              <c:strCache>
                <c:ptCount val="1"/>
                <c:pt idx="0">
                  <c:v>75.5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'Sensitivity Table'!$D$16:$D$35</c:f>
              <c:numCache>
                <c:formatCode>_("$"* #,##0.00_);_("$"* \(#,##0.00\);_("$"* "-"??_);_(@_)</c:formatCode>
                <c:ptCount val="20"/>
                <c:pt idx="0">
                  <c:v>5981071.1171927098</c:v>
                </c:pt>
                <c:pt idx="1">
                  <c:v>5962142.2493854184</c:v>
                </c:pt>
                <c:pt idx="2">
                  <c:v>5943213.3815781279</c:v>
                </c:pt>
                <c:pt idx="3">
                  <c:v>5924284.5137708373</c:v>
                </c:pt>
                <c:pt idx="4">
                  <c:v>5905355.6459635459</c:v>
                </c:pt>
                <c:pt idx="5">
                  <c:v>5886426.7781562554</c:v>
                </c:pt>
                <c:pt idx="6">
                  <c:v>5867497.9103489649</c:v>
                </c:pt>
                <c:pt idx="7">
                  <c:v>5848569.0425416734</c:v>
                </c:pt>
                <c:pt idx="8">
                  <c:v>5829640.1747343829</c:v>
                </c:pt>
                <c:pt idx="9">
                  <c:v>5810711.3069270924</c:v>
                </c:pt>
                <c:pt idx="10">
                  <c:v>5791782.4391198009</c:v>
                </c:pt>
                <c:pt idx="11">
                  <c:v>5772853.5713125104</c:v>
                </c:pt>
                <c:pt idx="12">
                  <c:v>5753924.7035052199</c:v>
                </c:pt>
                <c:pt idx="13">
                  <c:v>5734995.8356979284</c:v>
                </c:pt>
                <c:pt idx="14">
                  <c:v>5716066.9678906379</c:v>
                </c:pt>
                <c:pt idx="15">
                  <c:v>5697138.1000833465</c:v>
                </c:pt>
                <c:pt idx="16">
                  <c:v>5678209.232276056</c:v>
                </c:pt>
                <c:pt idx="17">
                  <c:v>5659280.3644687654</c:v>
                </c:pt>
                <c:pt idx="18">
                  <c:v>5640351.4966614749</c:v>
                </c:pt>
                <c:pt idx="19">
                  <c:v>5621422.6288541844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B7-478E-A8B9-13A02917C12C}"/>
            </c:ext>
          </c:extLst>
        </c:ser>
        <c:ser>
          <c:idx val="3"/>
          <c:order val="3"/>
          <c:tx>
            <c:strRef>
              <c:f>'Sensitivity Table'!$E$15</c:f>
              <c:strCache>
                <c:ptCount val="1"/>
                <c:pt idx="0">
                  <c:v>76</c:v>
                </c:pt>
              </c:strCache>
            </c:strRef>
          </c:tx>
          <c:spPr>
            <a:ln w="95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'Sensitivity Table'!$E$16:$E$35</c:f>
              <c:numCache>
                <c:formatCode>_("$"* #,##0.00_);_("$"* \(#,##0.00\);_("$"* "-"??_);_(@_)</c:formatCode>
                <c:ptCount val="20"/>
                <c:pt idx="0">
                  <c:v>5314404.4521927098</c:v>
                </c:pt>
                <c:pt idx="1">
                  <c:v>5295475.5843854183</c:v>
                </c:pt>
                <c:pt idx="2">
                  <c:v>5276546.7165781278</c:v>
                </c:pt>
                <c:pt idx="3">
                  <c:v>5257617.8487708373</c:v>
                </c:pt>
                <c:pt idx="4">
                  <c:v>5238688.9809635459</c:v>
                </c:pt>
                <c:pt idx="5">
                  <c:v>5219760.1131562553</c:v>
                </c:pt>
                <c:pt idx="6">
                  <c:v>5200831.2453489639</c:v>
                </c:pt>
                <c:pt idx="7">
                  <c:v>5181902.3775416743</c:v>
                </c:pt>
                <c:pt idx="8">
                  <c:v>5162973.5097343829</c:v>
                </c:pt>
                <c:pt idx="9">
                  <c:v>5144044.6419270914</c:v>
                </c:pt>
                <c:pt idx="10">
                  <c:v>5125115.7741198009</c:v>
                </c:pt>
                <c:pt idx="11">
                  <c:v>5106186.9063125104</c:v>
                </c:pt>
                <c:pt idx="12">
                  <c:v>5087258.0385052199</c:v>
                </c:pt>
                <c:pt idx="13">
                  <c:v>5068329.1706979293</c:v>
                </c:pt>
                <c:pt idx="14">
                  <c:v>5049400.3028906379</c:v>
                </c:pt>
                <c:pt idx="15">
                  <c:v>5030471.4350833464</c:v>
                </c:pt>
                <c:pt idx="16">
                  <c:v>5011542.5672760559</c:v>
                </c:pt>
                <c:pt idx="17">
                  <c:v>4992613.6994687654</c:v>
                </c:pt>
                <c:pt idx="18">
                  <c:v>4973684.8316614749</c:v>
                </c:pt>
                <c:pt idx="19">
                  <c:v>4954755.9638541844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B7-478E-A8B9-13A02917C12C}"/>
            </c:ext>
          </c:extLst>
        </c:ser>
        <c:ser>
          <c:idx val="4"/>
          <c:order val="4"/>
          <c:tx>
            <c:strRef>
              <c:f>'Sensitivity Table'!$F$15</c:f>
              <c:strCache>
                <c:ptCount val="1"/>
                <c:pt idx="0">
                  <c:v>76.5</c:v>
                </c:pt>
              </c:strCache>
            </c:strRef>
          </c:tx>
          <c:spPr>
            <a:ln w="95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'Sensitivity Table'!$F$16:$F$35</c:f>
              <c:numCache>
                <c:formatCode>_("$"* #,##0.00_);_("$"* \(#,##0.00\);_("$"* "-"??_);_(@_)</c:formatCode>
                <c:ptCount val="20"/>
                <c:pt idx="0">
                  <c:v>4647737.7871927097</c:v>
                </c:pt>
                <c:pt idx="1">
                  <c:v>4628808.9193854183</c:v>
                </c:pt>
                <c:pt idx="2">
                  <c:v>4609880.0515781278</c:v>
                </c:pt>
                <c:pt idx="3">
                  <c:v>4590951.1837708373</c:v>
                </c:pt>
                <c:pt idx="4">
                  <c:v>4572022.3159635458</c:v>
                </c:pt>
                <c:pt idx="5">
                  <c:v>4553093.4481562553</c:v>
                </c:pt>
                <c:pt idx="6">
                  <c:v>4534164.5803489648</c:v>
                </c:pt>
                <c:pt idx="7">
                  <c:v>4515235.7125416733</c:v>
                </c:pt>
                <c:pt idx="8">
                  <c:v>4496306.8447343828</c:v>
                </c:pt>
                <c:pt idx="9">
                  <c:v>4477377.9769270923</c:v>
                </c:pt>
                <c:pt idx="10">
                  <c:v>4458449.1091198009</c:v>
                </c:pt>
                <c:pt idx="11">
                  <c:v>4439520.2413125103</c:v>
                </c:pt>
                <c:pt idx="12">
                  <c:v>4420591.3735052198</c:v>
                </c:pt>
                <c:pt idx="13">
                  <c:v>4401662.5056979284</c:v>
                </c:pt>
                <c:pt idx="14">
                  <c:v>4382733.6378906379</c:v>
                </c:pt>
                <c:pt idx="15">
                  <c:v>4363804.7700833464</c:v>
                </c:pt>
                <c:pt idx="16">
                  <c:v>4344875.9022760559</c:v>
                </c:pt>
                <c:pt idx="17">
                  <c:v>4325947.0344687654</c:v>
                </c:pt>
                <c:pt idx="18">
                  <c:v>4307018.1666614749</c:v>
                </c:pt>
                <c:pt idx="19">
                  <c:v>4288089.2988541843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B7-478E-A8B9-13A02917C12C}"/>
            </c:ext>
          </c:extLst>
        </c:ser>
        <c:ser>
          <c:idx val="5"/>
          <c:order val="5"/>
          <c:tx>
            <c:strRef>
              <c:f>'Sensitivity Table'!$G$15</c:f>
              <c:strCache>
                <c:ptCount val="1"/>
                <c:pt idx="0">
                  <c:v>77</c:v>
                </c:pt>
              </c:strCache>
            </c:strRef>
          </c:tx>
          <c:spPr>
            <a:ln w="95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'Sensitivity Table'!$G$16:$G$35</c:f>
              <c:numCache>
                <c:formatCode>_("$"* #,##0.00_);_("$"* \(#,##0.00\);_("$"* "-"??_);_(@_)</c:formatCode>
                <c:ptCount val="20"/>
                <c:pt idx="0">
                  <c:v>3981071.1221927092</c:v>
                </c:pt>
                <c:pt idx="1">
                  <c:v>3962142.2543854187</c:v>
                </c:pt>
                <c:pt idx="2">
                  <c:v>3943213.3865781277</c:v>
                </c:pt>
                <c:pt idx="3">
                  <c:v>3924284.5187708372</c:v>
                </c:pt>
                <c:pt idx="4">
                  <c:v>3905355.6509635458</c:v>
                </c:pt>
                <c:pt idx="5">
                  <c:v>3886426.7831562553</c:v>
                </c:pt>
                <c:pt idx="6">
                  <c:v>3867497.9153489643</c:v>
                </c:pt>
                <c:pt idx="7">
                  <c:v>3848569.0475416738</c:v>
                </c:pt>
                <c:pt idx="8">
                  <c:v>3829640.1797343828</c:v>
                </c:pt>
                <c:pt idx="9">
                  <c:v>3810711.3119270918</c:v>
                </c:pt>
                <c:pt idx="10">
                  <c:v>3791782.4441198008</c:v>
                </c:pt>
                <c:pt idx="11">
                  <c:v>3772853.5763125103</c:v>
                </c:pt>
                <c:pt idx="12">
                  <c:v>3753924.7085052198</c:v>
                </c:pt>
                <c:pt idx="13">
                  <c:v>3734995.8406979288</c:v>
                </c:pt>
                <c:pt idx="14">
                  <c:v>3716066.9728906378</c:v>
                </c:pt>
                <c:pt idx="15">
                  <c:v>3697138.1050833464</c:v>
                </c:pt>
                <c:pt idx="16">
                  <c:v>3678209.2372760559</c:v>
                </c:pt>
                <c:pt idx="17">
                  <c:v>3659280.3694687653</c:v>
                </c:pt>
                <c:pt idx="18">
                  <c:v>3640351.5016614748</c:v>
                </c:pt>
                <c:pt idx="19">
                  <c:v>3621422.6338541843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BB7-478E-A8B9-13A02917C12C}"/>
            </c:ext>
          </c:extLst>
        </c:ser>
        <c:ser>
          <c:idx val="6"/>
          <c:order val="6"/>
          <c:tx>
            <c:strRef>
              <c:f>'Sensitivity Table'!$H$15</c:f>
              <c:strCache>
                <c:ptCount val="1"/>
                <c:pt idx="0">
                  <c:v>77.5</c:v>
                </c:pt>
              </c:strCache>
            </c:strRef>
          </c:tx>
          <c:spPr>
            <a:ln w="95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'Sensitivity Table'!$H$16:$H$35</c:f>
              <c:numCache>
                <c:formatCode>_("$"* #,##0.00_);_("$"* \(#,##0.00\);_("$"* "-"??_);_(@_)</c:formatCode>
                <c:ptCount val="20"/>
                <c:pt idx="0">
                  <c:v>3314404.4571927092</c:v>
                </c:pt>
                <c:pt idx="1">
                  <c:v>3295475.5893854187</c:v>
                </c:pt>
                <c:pt idx="2">
                  <c:v>3276546.7215781277</c:v>
                </c:pt>
                <c:pt idx="3">
                  <c:v>3257617.8537708372</c:v>
                </c:pt>
                <c:pt idx="4">
                  <c:v>3238688.9859635457</c:v>
                </c:pt>
                <c:pt idx="5">
                  <c:v>3219760.1181562552</c:v>
                </c:pt>
                <c:pt idx="6">
                  <c:v>3200831.2503489642</c:v>
                </c:pt>
                <c:pt idx="7">
                  <c:v>3181902.3825416737</c:v>
                </c:pt>
                <c:pt idx="8">
                  <c:v>3162973.5147343827</c:v>
                </c:pt>
                <c:pt idx="9">
                  <c:v>3144044.6469270918</c:v>
                </c:pt>
                <c:pt idx="10">
                  <c:v>3125115.7791198008</c:v>
                </c:pt>
                <c:pt idx="11">
                  <c:v>3106186.9113125103</c:v>
                </c:pt>
                <c:pt idx="12">
                  <c:v>3087258.0435052197</c:v>
                </c:pt>
                <c:pt idx="13">
                  <c:v>3068329.1756979288</c:v>
                </c:pt>
                <c:pt idx="14">
                  <c:v>3049400.3078906378</c:v>
                </c:pt>
                <c:pt idx="15">
                  <c:v>3030471.4400833463</c:v>
                </c:pt>
                <c:pt idx="16">
                  <c:v>3011542.5722760558</c:v>
                </c:pt>
                <c:pt idx="17">
                  <c:v>2992613.7044687653</c:v>
                </c:pt>
                <c:pt idx="18">
                  <c:v>2973684.8366614748</c:v>
                </c:pt>
                <c:pt idx="19">
                  <c:v>2954755.9688541843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BB7-478E-A8B9-13A02917C12C}"/>
            </c:ext>
          </c:extLst>
        </c:ser>
        <c:ser>
          <c:idx val="7"/>
          <c:order val="7"/>
          <c:tx>
            <c:strRef>
              <c:f>'Sensitivity Table'!$I$15</c:f>
              <c:strCache>
                <c:ptCount val="1"/>
                <c:pt idx="0">
                  <c:v>78</c:v>
                </c:pt>
              </c:strCache>
            </c:strRef>
          </c:tx>
          <c:spPr>
            <a:ln w="95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'Sensitivity Table'!$I$16:$I$35</c:f>
              <c:numCache>
                <c:formatCode>_("$"* #,##0.00_);_("$"* \(#,##0.00\);_("$"* "-"??_);_(@_)</c:formatCode>
                <c:ptCount val="20"/>
                <c:pt idx="0">
                  <c:v>2647737.7921927092</c:v>
                </c:pt>
                <c:pt idx="1">
                  <c:v>2628808.9243854186</c:v>
                </c:pt>
                <c:pt idx="2">
                  <c:v>2609880.0565781277</c:v>
                </c:pt>
                <c:pt idx="3">
                  <c:v>2590951.1887708372</c:v>
                </c:pt>
                <c:pt idx="4">
                  <c:v>2572022.3209635457</c:v>
                </c:pt>
                <c:pt idx="5">
                  <c:v>2553093.4531562552</c:v>
                </c:pt>
                <c:pt idx="6">
                  <c:v>2534164.5853489642</c:v>
                </c:pt>
                <c:pt idx="7">
                  <c:v>2515235.7175416737</c:v>
                </c:pt>
                <c:pt idx="8">
                  <c:v>2496306.8497343827</c:v>
                </c:pt>
                <c:pt idx="9">
                  <c:v>2477377.9819270917</c:v>
                </c:pt>
                <c:pt idx="10">
                  <c:v>2458449.1141198007</c:v>
                </c:pt>
                <c:pt idx="11">
                  <c:v>2439520.2463125102</c:v>
                </c:pt>
                <c:pt idx="12">
                  <c:v>2420591.3785052197</c:v>
                </c:pt>
                <c:pt idx="13">
                  <c:v>2401662.5106979287</c:v>
                </c:pt>
                <c:pt idx="14">
                  <c:v>2382733.6428906377</c:v>
                </c:pt>
                <c:pt idx="15">
                  <c:v>2363804.7750833463</c:v>
                </c:pt>
                <c:pt idx="16">
                  <c:v>2344875.9072760558</c:v>
                </c:pt>
                <c:pt idx="17">
                  <c:v>2325947.0394687653</c:v>
                </c:pt>
                <c:pt idx="18">
                  <c:v>2307018.1716614747</c:v>
                </c:pt>
                <c:pt idx="19">
                  <c:v>2288089.3038541842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BB7-478E-A8B9-13A02917C12C}"/>
            </c:ext>
          </c:extLst>
        </c:ser>
        <c:ser>
          <c:idx val="8"/>
          <c:order val="8"/>
          <c:tx>
            <c:strRef>
              <c:f>'Sensitivity Table'!$J$15</c:f>
              <c:strCache>
                <c:ptCount val="1"/>
                <c:pt idx="0">
                  <c:v>78.5</c:v>
                </c:pt>
              </c:strCache>
            </c:strRef>
          </c:tx>
          <c:spPr>
            <a:ln w="952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'Sensitivity Table'!$J$16:$J$35</c:f>
              <c:numCache>
                <c:formatCode>_("$"* #,##0.00_);_("$"* \(#,##0.00\);_("$"* "-"??_);_(@_)</c:formatCode>
                <c:ptCount val="20"/>
                <c:pt idx="0">
                  <c:v>1981071.1271927094</c:v>
                </c:pt>
                <c:pt idx="1">
                  <c:v>1962142.2593854186</c:v>
                </c:pt>
                <c:pt idx="2">
                  <c:v>1943213.3915781276</c:v>
                </c:pt>
                <c:pt idx="3">
                  <c:v>1924284.5237708369</c:v>
                </c:pt>
                <c:pt idx="4">
                  <c:v>1905355.6559635459</c:v>
                </c:pt>
                <c:pt idx="5">
                  <c:v>1886426.7881562551</c:v>
                </c:pt>
                <c:pt idx="6">
                  <c:v>1867497.9203489642</c:v>
                </c:pt>
                <c:pt idx="7">
                  <c:v>1848569.0525416736</c:v>
                </c:pt>
                <c:pt idx="8">
                  <c:v>1829640.1847343827</c:v>
                </c:pt>
                <c:pt idx="9">
                  <c:v>1810711.3169270917</c:v>
                </c:pt>
                <c:pt idx="10">
                  <c:v>1791782.4491198007</c:v>
                </c:pt>
                <c:pt idx="11">
                  <c:v>1772853.5813125102</c:v>
                </c:pt>
                <c:pt idx="12">
                  <c:v>1753924.7135052197</c:v>
                </c:pt>
                <c:pt idx="13">
                  <c:v>1734995.8456979287</c:v>
                </c:pt>
                <c:pt idx="14">
                  <c:v>1716066.9778906377</c:v>
                </c:pt>
                <c:pt idx="15">
                  <c:v>1697138.1100833463</c:v>
                </c:pt>
                <c:pt idx="16">
                  <c:v>1678209.2422760557</c:v>
                </c:pt>
                <c:pt idx="17">
                  <c:v>1659280.3744687652</c:v>
                </c:pt>
                <c:pt idx="18">
                  <c:v>1640351.5066614747</c:v>
                </c:pt>
                <c:pt idx="19">
                  <c:v>1621422.6388541842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BB7-478E-A8B9-13A02917C12C}"/>
            </c:ext>
          </c:extLst>
        </c:ser>
        <c:ser>
          <c:idx val="9"/>
          <c:order val="9"/>
          <c:tx>
            <c:strRef>
              <c:f>'Sensitivity Table'!$K$15</c:f>
              <c:strCache>
                <c:ptCount val="1"/>
                <c:pt idx="0">
                  <c:v>79</c:v>
                </c:pt>
              </c:strCache>
            </c:strRef>
          </c:tx>
          <c:spPr>
            <a:ln w="952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'Sensitivity Table'!$K$16:$K$35</c:f>
              <c:numCache>
                <c:formatCode>_("$"* #,##0.00_);_("$"* \(#,##0.00\);_("$"* "-"??_);_(@_)</c:formatCode>
                <c:ptCount val="20"/>
                <c:pt idx="0">
                  <c:v>1314404.4621927093</c:v>
                </c:pt>
                <c:pt idx="1">
                  <c:v>1295475.5943854186</c:v>
                </c:pt>
                <c:pt idx="2">
                  <c:v>1276546.7265781276</c:v>
                </c:pt>
                <c:pt idx="3">
                  <c:v>1257617.8587708368</c:v>
                </c:pt>
                <c:pt idx="4">
                  <c:v>1238688.9909635459</c:v>
                </c:pt>
                <c:pt idx="5">
                  <c:v>1219760.1231562551</c:v>
                </c:pt>
                <c:pt idx="6">
                  <c:v>1200831.2553489641</c:v>
                </c:pt>
                <c:pt idx="7">
                  <c:v>1181902.3875416736</c:v>
                </c:pt>
                <c:pt idx="8">
                  <c:v>1162973.5197343826</c:v>
                </c:pt>
                <c:pt idx="9">
                  <c:v>1144044.6519270916</c:v>
                </c:pt>
                <c:pt idx="10">
                  <c:v>1125115.7841198007</c:v>
                </c:pt>
                <c:pt idx="11">
                  <c:v>1106186.9163125101</c:v>
                </c:pt>
                <c:pt idx="12">
                  <c:v>1087258.0485052196</c:v>
                </c:pt>
                <c:pt idx="13">
                  <c:v>1068329.1806979286</c:v>
                </c:pt>
                <c:pt idx="14">
                  <c:v>1049400.3128906377</c:v>
                </c:pt>
                <c:pt idx="15">
                  <c:v>1030471.4450833462</c:v>
                </c:pt>
                <c:pt idx="16">
                  <c:v>1011542.5772760557</c:v>
                </c:pt>
                <c:pt idx="17">
                  <c:v>992613.70946876518</c:v>
                </c:pt>
                <c:pt idx="18">
                  <c:v>973684.84166147467</c:v>
                </c:pt>
                <c:pt idx="19">
                  <c:v>954755.97385418415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BB7-478E-A8B9-13A02917C12C}"/>
            </c:ext>
          </c:extLst>
        </c:ser>
        <c:ser>
          <c:idx val="10"/>
          <c:order val="10"/>
          <c:tx>
            <c:strRef>
              <c:f>'Sensitivity Table'!$L$15</c:f>
              <c:strCache>
                <c:ptCount val="1"/>
                <c:pt idx="0">
                  <c:v>79.5</c:v>
                </c:pt>
              </c:strCache>
            </c:strRef>
          </c:tx>
          <c:spPr>
            <a:ln w="952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'Sensitivity Table'!$L$16:$L$35</c:f>
              <c:numCache>
                <c:formatCode>_("$"* #,##0.00_);_("$"* \(#,##0.00\);_("$"* "-"??_);_(@_)</c:formatCode>
                <c:ptCount val="20"/>
                <c:pt idx="0">
                  <c:v>647737.79719270929</c:v>
                </c:pt>
                <c:pt idx="1">
                  <c:v>628808.92938541842</c:v>
                </c:pt>
                <c:pt idx="2">
                  <c:v>609880.06157812767</c:v>
                </c:pt>
                <c:pt idx="3">
                  <c:v>590951.19377083681</c:v>
                </c:pt>
                <c:pt idx="4">
                  <c:v>572022.32596354582</c:v>
                </c:pt>
                <c:pt idx="5">
                  <c:v>553093.45815625507</c:v>
                </c:pt>
                <c:pt idx="6">
                  <c:v>534164.59034896409</c:v>
                </c:pt>
                <c:pt idx="7">
                  <c:v>515235.72254167357</c:v>
                </c:pt>
                <c:pt idx="8">
                  <c:v>496306.85473438259</c:v>
                </c:pt>
                <c:pt idx="9">
                  <c:v>477377.98692709161</c:v>
                </c:pt>
                <c:pt idx="10">
                  <c:v>458449.11911980063</c:v>
                </c:pt>
                <c:pt idx="11">
                  <c:v>439520.25131251011</c:v>
                </c:pt>
                <c:pt idx="12">
                  <c:v>420591.38350521959</c:v>
                </c:pt>
                <c:pt idx="13">
                  <c:v>401662.51569792861</c:v>
                </c:pt>
                <c:pt idx="14">
                  <c:v>382733.64789063763</c:v>
                </c:pt>
                <c:pt idx="15">
                  <c:v>363804.78008334618</c:v>
                </c:pt>
                <c:pt idx="16">
                  <c:v>344875.91227605566</c:v>
                </c:pt>
                <c:pt idx="17">
                  <c:v>325947.04446876515</c:v>
                </c:pt>
                <c:pt idx="18">
                  <c:v>307018.17666147463</c:v>
                </c:pt>
                <c:pt idx="19">
                  <c:v>288089.30885418411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BB7-478E-A8B9-13A02917C12C}"/>
            </c:ext>
          </c:extLst>
        </c:ser>
        <c:ser>
          <c:idx val="11"/>
          <c:order val="11"/>
          <c:tx>
            <c:strRef>
              <c:f>'Sensitivity Table'!$M$15</c:f>
              <c:strCache>
                <c:ptCount val="1"/>
                <c:pt idx="0">
                  <c:v>80</c:v>
                </c:pt>
              </c:strCache>
            </c:strRef>
          </c:tx>
          <c:spPr>
            <a:ln w="952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'Sensitivity Table'!$M$16:$M$35</c:f>
              <c:numCache>
                <c:formatCode>_("$"* #,##0.00_);_("$"* \(#,##0.00\);_("$"* "-"??_);_(@_)</c:formatCode>
                <c:ptCount val="20"/>
                <c:pt idx="0">
                  <c:v>-18928.867807290808</c:v>
                </c:pt>
                <c:pt idx="1">
                  <c:v>-37857.735614581616</c:v>
                </c:pt>
                <c:pt idx="2">
                  <c:v>-56786.603421872365</c:v>
                </c:pt>
                <c:pt idx="3">
                  <c:v>-75715.471229163231</c:v>
                </c:pt>
                <c:pt idx="4">
                  <c:v>-94644.339036454214</c:v>
                </c:pt>
                <c:pt idx="5">
                  <c:v>-113573.20684374496</c:v>
                </c:pt>
                <c:pt idx="6">
                  <c:v>-132502.07465103595</c:v>
                </c:pt>
                <c:pt idx="7">
                  <c:v>-151430.94245832646</c:v>
                </c:pt>
                <c:pt idx="8">
                  <c:v>-170359.81026561745</c:v>
                </c:pt>
                <c:pt idx="9">
                  <c:v>-189288.67807290843</c:v>
                </c:pt>
                <c:pt idx="10">
                  <c:v>-208217.54588019941</c:v>
                </c:pt>
                <c:pt idx="11">
                  <c:v>-227146.41368748993</c:v>
                </c:pt>
                <c:pt idx="12">
                  <c:v>-246075.28149478044</c:v>
                </c:pt>
                <c:pt idx="13">
                  <c:v>-265004.14930207143</c:v>
                </c:pt>
                <c:pt idx="14">
                  <c:v>-283933.01710936241</c:v>
                </c:pt>
                <c:pt idx="15">
                  <c:v>-302861.88491665386</c:v>
                </c:pt>
                <c:pt idx="16">
                  <c:v>-321790.75272394437</c:v>
                </c:pt>
                <c:pt idx="17">
                  <c:v>-340719.62053123489</c:v>
                </c:pt>
                <c:pt idx="18">
                  <c:v>-359648.48833852541</c:v>
                </c:pt>
                <c:pt idx="19">
                  <c:v>-378577.35614581592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BB7-478E-A8B9-13A02917C12C}"/>
            </c:ext>
          </c:extLst>
        </c:ser>
        <c:ser>
          <c:idx val="12"/>
          <c:order val="12"/>
          <c:tx>
            <c:strRef>
              <c:f>'Sensitivity Table'!$N$15</c:f>
              <c:strCache>
                <c:ptCount val="1"/>
                <c:pt idx="0">
                  <c:v>80.5</c:v>
                </c:pt>
              </c:strCache>
            </c:strRef>
          </c:tx>
          <c:spPr>
            <a:ln w="95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'Sensitivity Table'!$N$16:$N$35</c:f>
              <c:numCache>
                <c:formatCode>_("$"* #,##0.00_);_("$"* \(#,##0.00\);_("$"* "-"??_);_(@_)</c:formatCode>
                <c:ptCount val="20"/>
                <c:pt idx="0">
                  <c:v>-685595.53280729079</c:v>
                </c:pt>
                <c:pt idx="1">
                  <c:v>-704524.40061458165</c:v>
                </c:pt>
                <c:pt idx="2">
                  <c:v>-723453.2684218724</c:v>
                </c:pt>
                <c:pt idx="3">
                  <c:v>-742382.13622916327</c:v>
                </c:pt>
                <c:pt idx="4">
                  <c:v>-761311.00403645425</c:v>
                </c:pt>
                <c:pt idx="5">
                  <c:v>-780239.871843745</c:v>
                </c:pt>
                <c:pt idx="6">
                  <c:v>-799168.73965103598</c:v>
                </c:pt>
                <c:pt idx="7">
                  <c:v>-818097.6074583265</c:v>
                </c:pt>
                <c:pt idx="8">
                  <c:v>-837026.47526561748</c:v>
                </c:pt>
                <c:pt idx="9">
                  <c:v>-855955.34307290846</c:v>
                </c:pt>
                <c:pt idx="10">
                  <c:v>-874884.21088019945</c:v>
                </c:pt>
                <c:pt idx="11">
                  <c:v>-893813.07868748996</c:v>
                </c:pt>
                <c:pt idx="12">
                  <c:v>-912741.94649478048</c:v>
                </c:pt>
                <c:pt idx="13">
                  <c:v>-931670.81430207146</c:v>
                </c:pt>
                <c:pt idx="14">
                  <c:v>-950599.68210936245</c:v>
                </c:pt>
                <c:pt idx="15">
                  <c:v>-969528.54991665389</c:v>
                </c:pt>
                <c:pt idx="16">
                  <c:v>-988457.41772394441</c:v>
                </c:pt>
                <c:pt idx="17">
                  <c:v>-1007386.2855312349</c:v>
                </c:pt>
                <c:pt idx="18">
                  <c:v>-1026315.1533385254</c:v>
                </c:pt>
                <c:pt idx="19">
                  <c:v>-1045244.021145816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BB7-478E-A8B9-13A02917C12C}"/>
            </c:ext>
          </c:extLst>
        </c:ser>
        <c:ser>
          <c:idx val="13"/>
          <c:order val="13"/>
          <c:tx>
            <c:strRef>
              <c:f>'Sensitivity Table'!$O$15</c:f>
              <c:strCache>
                <c:ptCount val="1"/>
                <c:pt idx="0">
                  <c:v>81</c:v>
                </c:pt>
              </c:strCache>
            </c:strRef>
          </c:tx>
          <c:spPr>
            <a:ln w="95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'Sensitivity Table'!$O$16:$O$35</c:f>
              <c:numCache>
                <c:formatCode>_("$"* #,##0.00_);_("$"* \(#,##0.00\);_("$"* "-"??_);_(@_)</c:formatCode>
                <c:ptCount val="20"/>
                <c:pt idx="0">
                  <c:v>-1352262.1978072908</c:v>
                </c:pt>
                <c:pt idx="1">
                  <c:v>-1371191.0656145816</c:v>
                </c:pt>
                <c:pt idx="2">
                  <c:v>-1390119.9334218726</c:v>
                </c:pt>
                <c:pt idx="3">
                  <c:v>-1409048.8012291633</c:v>
                </c:pt>
                <c:pt idx="4">
                  <c:v>-1427977.6690364543</c:v>
                </c:pt>
                <c:pt idx="5">
                  <c:v>-1446906.536843745</c:v>
                </c:pt>
                <c:pt idx="6">
                  <c:v>-1465835.404651036</c:v>
                </c:pt>
                <c:pt idx="7">
                  <c:v>-1484764.2724583265</c:v>
                </c:pt>
                <c:pt idx="8">
                  <c:v>-1503693.1402656175</c:v>
                </c:pt>
                <c:pt idx="9">
                  <c:v>-1522622.0080729085</c:v>
                </c:pt>
                <c:pt idx="10">
                  <c:v>-1541550.8758801995</c:v>
                </c:pt>
                <c:pt idx="11">
                  <c:v>-1560479.74368749</c:v>
                </c:pt>
                <c:pt idx="12">
                  <c:v>-1579408.6114947805</c:v>
                </c:pt>
                <c:pt idx="13">
                  <c:v>-1598337.4793020715</c:v>
                </c:pt>
                <c:pt idx="14">
                  <c:v>-1617266.3471093625</c:v>
                </c:pt>
                <c:pt idx="15">
                  <c:v>-1636195.2149166539</c:v>
                </c:pt>
                <c:pt idx="16">
                  <c:v>-1655124.0827239444</c:v>
                </c:pt>
                <c:pt idx="17">
                  <c:v>-1674052.950531235</c:v>
                </c:pt>
                <c:pt idx="18">
                  <c:v>-1692981.8183385255</c:v>
                </c:pt>
                <c:pt idx="19">
                  <c:v>-1711910.686145816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BB7-478E-A8B9-13A02917C12C}"/>
            </c:ext>
          </c:extLst>
        </c:ser>
        <c:ser>
          <c:idx val="14"/>
          <c:order val="14"/>
          <c:tx>
            <c:strRef>
              <c:f>'Sensitivity Table'!$P$15</c:f>
              <c:strCache>
                <c:ptCount val="1"/>
                <c:pt idx="0">
                  <c:v>81.5</c:v>
                </c:pt>
              </c:strCache>
            </c:strRef>
          </c:tx>
          <c:spPr>
            <a:ln w="95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'Sensitivity Table'!$P$16:$P$35</c:f>
              <c:numCache>
                <c:formatCode>_("$"* #,##0.00_);_("$"* \(#,##0.00\);_("$"* "-"??_);_(@_)</c:formatCode>
                <c:ptCount val="20"/>
                <c:pt idx="0">
                  <c:v>-2018928.8628072909</c:v>
                </c:pt>
                <c:pt idx="1">
                  <c:v>-2037857.7306145816</c:v>
                </c:pt>
                <c:pt idx="2">
                  <c:v>-2056786.5984218726</c:v>
                </c:pt>
                <c:pt idx="3">
                  <c:v>-2075715.4662291633</c:v>
                </c:pt>
                <c:pt idx="4">
                  <c:v>-2094644.3340364543</c:v>
                </c:pt>
                <c:pt idx="5">
                  <c:v>-2113573.2018437451</c:v>
                </c:pt>
                <c:pt idx="6">
                  <c:v>-2132502.0696510361</c:v>
                </c:pt>
                <c:pt idx="7">
                  <c:v>-2151430.9374583266</c:v>
                </c:pt>
                <c:pt idx="8">
                  <c:v>-2170359.8052656176</c:v>
                </c:pt>
                <c:pt idx="9">
                  <c:v>-2189288.6730729085</c:v>
                </c:pt>
                <c:pt idx="10">
                  <c:v>-2208217.5408801995</c:v>
                </c:pt>
                <c:pt idx="11">
                  <c:v>-2227146.40868749</c:v>
                </c:pt>
                <c:pt idx="12">
                  <c:v>-2246075.2764947806</c:v>
                </c:pt>
                <c:pt idx="13">
                  <c:v>-2265004.1443020715</c:v>
                </c:pt>
                <c:pt idx="14">
                  <c:v>-2283933.0121093625</c:v>
                </c:pt>
                <c:pt idx="15">
                  <c:v>-2302861.879916654</c:v>
                </c:pt>
                <c:pt idx="16">
                  <c:v>-2321790.7477239445</c:v>
                </c:pt>
                <c:pt idx="17">
                  <c:v>-2340719.615531235</c:v>
                </c:pt>
                <c:pt idx="18">
                  <c:v>-2359648.4833385255</c:v>
                </c:pt>
                <c:pt idx="19">
                  <c:v>-2378577.351145816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BB7-478E-A8B9-13A02917C12C}"/>
            </c:ext>
          </c:extLst>
        </c:ser>
        <c:ser>
          <c:idx val="15"/>
          <c:order val="15"/>
          <c:tx>
            <c:strRef>
              <c:f>'Sensitivity Table'!$Q$15</c:f>
              <c:strCache>
                <c:ptCount val="1"/>
                <c:pt idx="0">
                  <c:v>82</c:v>
                </c:pt>
              </c:strCache>
            </c:strRef>
          </c:tx>
          <c:spPr>
            <a:ln w="95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'Sensitivity Table'!$Q$16:$Q$35</c:f>
              <c:numCache>
                <c:formatCode>_("$"* #,##0.00_);_("$"* \(#,##0.00\);_("$"* "-"??_);_(@_)</c:formatCode>
                <c:ptCount val="20"/>
                <c:pt idx="0">
                  <c:v>-2685595.5278072911</c:v>
                </c:pt>
                <c:pt idx="1">
                  <c:v>-2704524.3956145816</c:v>
                </c:pt>
                <c:pt idx="2">
                  <c:v>-2723453.2634218726</c:v>
                </c:pt>
                <c:pt idx="3">
                  <c:v>-2742382.1312291631</c:v>
                </c:pt>
                <c:pt idx="4">
                  <c:v>-2761310.9990364546</c:v>
                </c:pt>
                <c:pt idx="5">
                  <c:v>-2780239.8668437451</c:v>
                </c:pt>
                <c:pt idx="6">
                  <c:v>-2799168.7346510361</c:v>
                </c:pt>
                <c:pt idx="7">
                  <c:v>-2818097.6024583266</c:v>
                </c:pt>
                <c:pt idx="8">
                  <c:v>-2837026.4702656176</c:v>
                </c:pt>
                <c:pt idx="9">
                  <c:v>-2855955.3380729086</c:v>
                </c:pt>
                <c:pt idx="10">
                  <c:v>-2874884.2058801996</c:v>
                </c:pt>
                <c:pt idx="11">
                  <c:v>-2893813.0736874901</c:v>
                </c:pt>
                <c:pt idx="12">
                  <c:v>-2912741.9414947806</c:v>
                </c:pt>
                <c:pt idx="13">
                  <c:v>-2931670.8093020716</c:v>
                </c:pt>
                <c:pt idx="14">
                  <c:v>-2950599.6771093626</c:v>
                </c:pt>
                <c:pt idx="15">
                  <c:v>-2969528.544916654</c:v>
                </c:pt>
                <c:pt idx="16">
                  <c:v>-2988457.4127239445</c:v>
                </c:pt>
                <c:pt idx="17">
                  <c:v>-3007386.280531235</c:v>
                </c:pt>
                <c:pt idx="18">
                  <c:v>-3026315.1483385256</c:v>
                </c:pt>
                <c:pt idx="19">
                  <c:v>-3045244.0161458161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BB7-478E-A8B9-13A02917C12C}"/>
            </c:ext>
          </c:extLst>
        </c:ser>
        <c:ser>
          <c:idx val="16"/>
          <c:order val="16"/>
          <c:tx>
            <c:strRef>
              <c:f>'Sensitivity Table'!$R$15</c:f>
              <c:strCache>
                <c:ptCount val="1"/>
                <c:pt idx="0">
                  <c:v>82.5</c:v>
                </c:pt>
              </c:strCache>
            </c:strRef>
          </c:tx>
          <c:spPr>
            <a:ln w="95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'Sensitivity Table'!$R$16:$R$35</c:f>
              <c:numCache>
                <c:formatCode>_("$"* #,##0.00_);_("$"* \(#,##0.00\);_("$"* "-"??_);_(@_)</c:formatCode>
                <c:ptCount val="20"/>
                <c:pt idx="0">
                  <c:v>-3352262.1928072912</c:v>
                </c:pt>
                <c:pt idx="1">
                  <c:v>-3371191.0606145817</c:v>
                </c:pt>
                <c:pt idx="2">
                  <c:v>-3390119.9284218727</c:v>
                </c:pt>
                <c:pt idx="3">
                  <c:v>-3409048.7962291632</c:v>
                </c:pt>
                <c:pt idx="4">
                  <c:v>-3427977.6640364546</c:v>
                </c:pt>
                <c:pt idx="5">
                  <c:v>-3446906.5318437451</c:v>
                </c:pt>
                <c:pt idx="6">
                  <c:v>-3465835.3996510361</c:v>
                </c:pt>
                <c:pt idx="7">
                  <c:v>-3484764.2674583266</c:v>
                </c:pt>
                <c:pt idx="8">
                  <c:v>-3503693.1352656176</c:v>
                </c:pt>
                <c:pt idx="9">
                  <c:v>-3522622.0030729086</c:v>
                </c:pt>
                <c:pt idx="10">
                  <c:v>-3541550.8708801996</c:v>
                </c:pt>
                <c:pt idx="11">
                  <c:v>-3560479.7386874901</c:v>
                </c:pt>
                <c:pt idx="12">
                  <c:v>-3579408.6064947806</c:v>
                </c:pt>
                <c:pt idx="13">
                  <c:v>-3598337.4743020716</c:v>
                </c:pt>
                <c:pt idx="14">
                  <c:v>-3617266.3421093626</c:v>
                </c:pt>
                <c:pt idx="15">
                  <c:v>-3636195.209916654</c:v>
                </c:pt>
                <c:pt idx="16">
                  <c:v>-3655124.0777239446</c:v>
                </c:pt>
                <c:pt idx="17">
                  <c:v>-3674052.9455312351</c:v>
                </c:pt>
                <c:pt idx="18">
                  <c:v>-3692981.8133385256</c:v>
                </c:pt>
                <c:pt idx="19">
                  <c:v>-3711910.6811458161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BB7-478E-A8B9-13A02917C12C}"/>
            </c:ext>
          </c:extLst>
        </c:ser>
        <c:ser>
          <c:idx val="17"/>
          <c:order val="17"/>
          <c:tx>
            <c:strRef>
              <c:f>'Sensitivity Table'!$S$15</c:f>
              <c:strCache>
                <c:ptCount val="1"/>
                <c:pt idx="0">
                  <c:v>83</c:v>
                </c:pt>
              </c:strCache>
            </c:strRef>
          </c:tx>
          <c:spPr>
            <a:ln w="952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'Sensitivity Table'!$S$16:$S$35</c:f>
              <c:numCache>
                <c:formatCode>_("$"* #,##0.00_);_("$"* \(#,##0.00\);_("$"* "-"??_);_(@_)</c:formatCode>
                <c:ptCount val="20"/>
                <c:pt idx="0">
                  <c:v>-4018928.8578072912</c:v>
                </c:pt>
                <c:pt idx="1">
                  <c:v>-4037857.7256145817</c:v>
                </c:pt>
                <c:pt idx="2">
                  <c:v>-4056786.5934218727</c:v>
                </c:pt>
                <c:pt idx="3">
                  <c:v>-4075715.4612291632</c:v>
                </c:pt>
                <c:pt idx="4">
                  <c:v>-4094644.3290364547</c:v>
                </c:pt>
                <c:pt idx="5">
                  <c:v>-4113573.1968437452</c:v>
                </c:pt>
                <c:pt idx="6">
                  <c:v>-4132502.0646510362</c:v>
                </c:pt>
                <c:pt idx="7">
                  <c:v>-4151430.9324583267</c:v>
                </c:pt>
                <c:pt idx="8">
                  <c:v>-4170359.8002656177</c:v>
                </c:pt>
                <c:pt idx="9">
                  <c:v>-4189288.6680729087</c:v>
                </c:pt>
                <c:pt idx="10">
                  <c:v>-4208217.5358801996</c:v>
                </c:pt>
                <c:pt idx="11">
                  <c:v>-4227146.4036874902</c:v>
                </c:pt>
                <c:pt idx="12">
                  <c:v>-4246075.2714947807</c:v>
                </c:pt>
                <c:pt idx="13">
                  <c:v>-4265004.1393020712</c:v>
                </c:pt>
                <c:pt idx="14">
                  <c:v>-4283933.0071093626</c:v>
                </c:pt>
                <c:pt idx="15">
                  <c:v>-4302861.8749166541</c:v>
                </c:pt>
                <c:pt idx="16">
                  <c:v>-4321790.7427239446</c:v>
                </c:pt>
                <c:pt idx="17">
                  <c:v>-4340719.6105312351</c:v>
                </c:pt>
                <c:pt idx="18">
                  <c:v>-4359648.4783385256</c:v>
                </c:pt>
                <c:pt idx="19">
                  <c:v>-4378577.3461458161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BB7-478E-A8B9-13A02917C12C}"/>
            </c:ext>
          </c:extLst>
        </c:ser>
        <c:ser>
          <c:idx val="18"/>
          <c:order val="18"/>
          <c:tx>
            <c:strRef>
              <c:f>'Sensitivity Table'!$T$15</c:f>
              <c:strCache>
                <c:ptCount val="1"/>
                <c:pt idx="0">
                  <c:v>83.5</c:v>
                </c:pt>
              </c:strCache>
            </c:strRef>
          </c:tx>
          <c:spPr>
            <a:ln w="9525" cap="rnd">
              <a:solidFill>
                <a:schemeClr val="accent1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'Sensitivity Table'!$T$16:$T$35</c:f>
              <c:numCache>
                <c:formatCode>_("$"* #,##0.00_);_("$"* \(#,##0.00\);_("$"* "-"??_);_(@_)</c:formatCode>
                <c:ptCount val="20"/>
                <c:pt idx="0">
                  <c:v>-4685595.5228072908</c:v>
                </c:pt>
                <c:pt idx="1">
                  <c:v>-4704524.3906145822</c:v>
                </c:pt>
                <c:pt idx="2">
                  <c:v>-4723453.2584218727</c:v>
                </c:pt>
                <c:pt idx="3">
                  <c:v>-4742382.1262291633</c:v>
                </c:pt>
                <c:pt idx="4">
                  <c:v>-4761310.9940364547</c:v>
                </c:pt>
                <c:pt idx="5">
                  <c:v>-4780239.8618437452</c:v>
                </c:pt>
                <c:pt idx="6">
                  <c:v>-4799168.7296510357</c:v>
                </c:pt>
                <c:pt idx="7">
                  <c:v>-4818097.5974583272</c:v>
                </c:pt>
                <c:pt idx="8">
                  <c:v>-4837026.4652656177</c:v>
                </c:pt>
                <c:pt idx="9">
                  <c:v>-4855955.3330729082</c:v>
                </c:pt>
                <c:pt idx="10">
                  <c:v>-4874884.2008801997</c:v>
                </c:pt>
                <c:pt idx="11">
                  <c:v>-4893813.0686874902</c:v>
                </c:pt>
                <c:pt idx="12">
                  <c:v>-4912741.9364947807</c:v>
                </c:pt>
                <c:pt idx="13">
                  <c:v>-4931670.8043020722</c:v>
                </c:pt>
                <c:pt idx="14">
                  <c:v>-4950599.6721093627</c:v>
                </c:pt>
                <c:pt idx="15">
                  <c:v>-4969528.5399166541</c:v>
                </c:pt>
                <c:pt idx="16">
                  <c:v>-4988457.4077239446</c:v>
                </c:pt>
                <c:pt idx="17">
                  <c:v>-5007386.2755312352</c:v>
                </c:pt>
                <c:pt idx="18">
                  <c:v>-5026315.1433385257</c:v>
                </c:pt>
                <c:pt idx="19">
                  <c:v>-5045244.0111458162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BB7-478E-A8B9-13A02917C12C}"/>
            </c:ext>
          </c:extLst>
        </c:ser>
        <c:ser>
          <c:idx val="19"/>
          <c:order val="19"/>
          <c:tx>
            <c:strRef>
              <c:f>'Sensitivity Table'!$U$15</c:f>
              <c:strCache>
                <c:ptCount val="1"/>
                <c:pt idx="0">
                  <c:v>84</c:v>
                </c:pt>
              </c:strCache>
            </c:strRef>
          </c:tx>
          <c:spPr>
            <a:ln w="9525" cap="rnd">
              <a:solidFill>
                <a:schemeClr val="accent2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'Sensitivity Table'!$U$16:$U$35</c:f>
              <c:numCache>
                <c:formatCode>_("$"* #,##0.00_);_("$"* \(#,##0.00\);_("$"* "-"??_);_(@_)</c:formatCode>
                <c:ptCount val="20"/>
                <c:pt idx="0">
                  <c:v>-5352262.1878072908</c:v>
                </c:pt>
                <c:pt idx="1">
                  <c:v>-5371191.0556145823</c:v>
                </c:pt>
                <c:pt idx="2">
                  <c:v>-5390119.9234218728</c:v>
                </c:pt>
                <c:pt idx="3">
                  <c:v>-5409048.7912291633</c:v>
                </c:pt>
                <c:pt idx="4">
                  <c:v>-5427977.6590364547</c:v>
                </c:pt>
                <c:pt idx="5">
                  <c:v>-5446906.5268437453</c:v>
                </c:pt>
                <c:pt idx="6">
                  <c:v>-5465835.3946510367</c:v>
                </c:pt>
                <c:pt idx="7">
                  <c:v>-5484764.2624583263</c:v>
                </c:pt>
                <c:pt idx="8">
                  <c:v>-5503693.1302656177</c:v>
                </c:pt>
                <c:pt idx="9">
                  <c:v>-5522621.9980729092</c:v>
                </c:pt>
                <c:pt idx="10">
                  <c:v>-5541550.8658801997</c:v>
                </c:pt>
                <c:pt idx="11">
                  <c:v>-5560479.7336874902</c:v>
                </c:pt>
                <c:pt idx="12">
                  <c:v>-5579408.6014947807</c:v>
                </c:pt>
                <c:pt idx="13">
                  <c:v>-5598337.4693020713</c:v>
                </c:pt>
                <c:pt idx="14">
                  <c:v>-5617266.3371093627</c:v>
                </c:pt>
                <c:pt idx="15">
                  <c:v>-5636195.2049166542</c:v>
                </c:pt>
                <c:pt idx="16">
                  <c:v>-5655124.0727239447</c:v>
                </c:pt>
                <c:pt idx="17">
                  <c:v>-5674052.9405312352</c:v>
                </c:pt>
                <c:pt idx="18">
                  <c:v>-5692981.8083385257</c:v>
                </c:pt>
                <c:pt idx="19">
                  <c:v>-5711910.6761458162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BB7-478E-A8B9-13A02917C12C}"/>
            </c:ext>
          </c:extLst>
        </c:ser>
        <c:ser>
          <c:idx val="20"/>
          <c:order val="20"/>
          <c:tx>
            <c:strRef>
              <c:f>'Sensitivity Table'!$V$15</c:f>
              <c:strCache>
                <c:ptCount val="1"/>
                <c:pt idx="0">
                  <c:v>84.5</c:v>
                </c:pt>
              </c:strCache>
            </c:strRef>
          </c:tx>
          <c:spPr>
            <a:ln w="9525" cap="rnd">
              <a:solidFill>
                <a:schemeClr val="accent3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'Sensitivity Table'!$V$16:$V$35</c:f>
              <c:numCache>
                <c:formatCode>_("$"* #,##0.00_);_("$"* \(#,##0.00\);_("$"* "-"??_);_(@_)</c:formatCode>
                <c:ptCount val="20"/>
                <c:pt idx="0">
                  <c:v>-6018928.8528072909</c:v>
                </c:pt>
                <c:pt idx="1">
                  <c:v>-6037857.7206145823</c:v>
                </c:pt>
                <c:pt idx="2">
                  <c:v>-6056786.5884218728</c:v>
                </c:pt>
                <c:pt idx="3">
                  <c:v>-6075715.4562291633</c:v>
                </c:pt>
                <c:pt idx="4">
                  <c:v>-6094644.3240364548</c:v>
                </c:pt>
                <c:pt idx="5">
                  <c:v>-6113573.1918437453</c:v>
                </c:pt>
                <c:pt idx="6">
                  <c:v>-6132502.0596510358</c:v>
                </c:pt>
                <c:pt idx="7">
                  <c:v>-6151430.9274583273</c:v>
                </c:pt>
                <c:pt idx="8">
                  <c:v>-6170359.7952656178</c:v>
                </c:pt>
                <c:pt idx="9">
                  <c:v>-6189288.6630729083</c:v>
                </c:pt>
                <c:pt idx="10">
                  <c:v>-6208217.5308801997</c:v>
                </c:pt>
                <c:pt idx="11">
                  <c:v>-6227146.3986874903</c:v>
                </c:pt>
                <c:pt idx="12">
                  <c:v>-6246075.2664947808</c:v>
                </c:pt>
                <c:pt idx="13">
                  <c:v>-6265004.1343020722</c:v>
                </c:pt>
                <c:pt idx="14">
                  <c:v>-6283933.0021093627</c:v>
                </c:pt>
                <c:pt idx="15">
                  <c:v>-6302861.8699166542</c:v>
                </c:pt>
                <c:pt idx="16">
                  <c:v>-6321790.7377239447</c:v>
                </c:pt>
                <c:pt idx="17">
                  <c:v>-6340719.6055312352</c:v>
                </c:pt>
                <c:pt idx="18">
                  <c:v>-6359648.4733385257</c:v>
                </c:pt>
                <c:pt idx="19">
                  <c:v>-6378577.3411458163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BB7-478E-A8B9-13A02917C12C}"/>
            </c:ext>
          </c:extLst>
        </c:ser>
        <c:ser>
          <c:idx val="21"/>
          <c:order val="21"/>
          <c:tx>
            <c:strRef>
              <c:f>'Sensitivity Table'!$W$15</c:f>
              <c:strCache>
                <c:ptCount val="1"/>
                <c:pt idx="0">
                  <c:v>85</c:v>
                </c:pt>
              </c:strCache>
            </c:strRef>
          </c:tx>
          <c:spPr>
            <a:ln w="9525" cap="rnd">
              <a:solidFill>
                <a:schemeClr val="accent4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'Sensitivity Table'!$W$16:$W$35</c:f>
              <c:numCache>
                <c:formatCode>_("$"* #,##0.00_);_("$"* \(#,##0.00\);_("$"* "-"??_);_(@_)</c:formatCode>
                <c:ptCount val="20"/>
                <c:pt idx="0">
                  <c:v>-6685595.5178072909</c:v>
                </c:pt>
                <c:pt idx="1">
                  <c:v>-6704524.3856145823</c:v>
                </c:pt>
                <c:pt idx="2">
                  <c:v>-6723453.2534218729</c:v>
                </c:pt>
                <c:pt idx="3">
                  <c:v>-6742382.1212291634</c:v>
                </c:pt>
                <c:pt idx="4">
                  <c:v>-6761310.9890364548</c:v>
                </c:pt>
                <c:pt idx="5">
                  <c:v>-6780239.8568437453</c:v>
                </c:pt>
                <c:pt idx="6">
                  <c:v>-6799168.7246510368</c:v>
                </c:pt>
                <c:pt idx="7">
                  <c:v>-6818097.5924583264</c:v>
                </c:pt>
                <c:pt idx="8">
                  <c:v>-6837026.4602656178</c:v>
                </c:pt>
                <c:pt idx="9">
                  <c:v>-6855955.3280729093</c:v>
                </c:pt>
                <c:pt idx="10">
                  <c:v>-6874884.1958801998</c:v>
                </c:pt>
                <c:pt idx="11">
                  <c:v>-6893813.0636874903</c:v>
                </c:pt>
                <c:pt idx="12">
                  <c:v>-6912741.9314947808</c:v>
                </c:pt>
                <c:pt idx="13">
                  <c:v>-6931670.7993020713</c:v>
                </c:pt>
                <c:pt idx="14">
                  <c:v>-6950599.6671093628</c:v>
                </c:pt>
                <c:pt idx="15">
                  <c:v>-6969528.5349166542</c:v>
                </c:pt>
                <c:pt idx="16">
                  <c:v>-6988457.4027239447</c:v>
                </c:pt>
                <c:pt idx="17">
                  <c:v>-7007386.2705312353</c:v>
                </c:pt>
                <c:pt idx="18">
                  <c:v>-7026315.1383385258</c:v>
                </c:pt>
                <c:pt idx="19">
                  <c:v>-7045244.0061458163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BB7-478E-A8B9-13A02917C12C}"/>
            </c:ext>
          </c:extLst>
        </c:ser>
        <c:bandFmts>
          <c:bandFmt>
            <c:idx val="0"/>
            <c:spPr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bandFmt>
          <c:bandFmt>
            <c:idx val="1"/>
            <c:spPr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bandFmt>
          <c:bandFmt>
            <c:idx val="2"/>
            <c:spPr>
              <a:ln w="95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bandFmt>
          <c:bandFmt>
            <c:idx val="3"/>
            <c:spPr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bandFmt>
          <c:bandFmt>
            <c:idx val="4"/>
            <c:spPr>
              <a:ln w="9525" cap="rnd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bandFmt>
          <c:bandFmt>
            <c:idx val="5"/>
            <c:spPr>
              <a:ln w="95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bandFmt>
          <c:bandFmt>
            <c:idx val="6"/>
            <c:spPr>
              <a:ln w="9525" cap="rnd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bandFmt>
          <c:bandFmt>
            <c:idx val="7"/>
            <c:spPr>
              <a:ln w="9525" cap="rnd">
                <a:solidFill>
                  <a:schemeClr val="accent2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bandFmt>
          <c:bandFmt>
            <c:idx val="8"/>
            <c:spPr>
              <a:ln w="9525" cap="rnd">
                <a:solidFill>
                  <a:schemeClr val="accent3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bandFmt>
          <c:bandFmt>
            <c:idx val="9"/>
            <c:spPr>
              <a:ln w="9525" cap="rnd">
                <a:solidFill>
                  <a:schemeClr val="accent4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bandFmt>
          <c:bandFmt>
            <c:idx val="10"/>
            <c:spPr>
              <a:ln w="9525" cap="rnd">
                <a:solidFill>
                  <a:schemeClr val="accent5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bandFmt>
          <c:bandFmt>
            <c:idx val="11"/>
            <c:spPr>
              <a:ln w="9525" cap="rnd">
                <a:solidFill>
                  <a:schemeClr val="accent6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bandFmt>
          <c:bandFmt>
            <c:idx val="12"/>
            <c:spPr>
              <a:ln w="952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bandFmt>
          <c:bandFmt>
            <c:idx val="13"/>
            <c:spPr>
              <a:ln w="952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bandFmt>
          <c:bandFmt>
            <c:idx val="14"/>
            <c:spPr>
              <a:ln w="952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bandFmt>
        </c:bandFmts>
        <c:axId val="529076800"/>
        <c:axId val="529077280"/>
        <c:axId val="441328928"/>
      </c:surface3DChart>
      <c:catAx>
        <c:axId val="529076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077280"/>
        <c:crosses val="autoZero"/>
        <c:auto val="1"/>
        <c:lblAlgn val="ctr"/>
        <c:lblOffset val="100"/>
        <c:noMultiLvlLbl val="0"/>
      </c:catAx>
      <c:valAx>
        <c:axId val="52907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076800"/>
        <c:crosses val="autoZero"/>
        <c:crossBetween val="midCat"/>
      </c:valAx>
      <c:serAx>
        <c:axId val="44132892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077280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'Sensitivity Table'!$B$15</c:f>
              <c:strCache>
                <c:ptCount val="1"/>
                <c:pt idx="0">
                  <c:v>H/Fnext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BE-4F68-980F-C3C88E1A1DFB}"/>
            </c:ext>
          </c:extLst>
        </c:ser>
        <c:ser>
          <c:idx val="1"/>
          <c:order val="1"/>
          <c:tx>
            <c:strRef>
              <c:f>'Sensitivity Table'!$C$15</c:f>
              <c:strCache>
                <c:ptCount val="1"/>
                <c:pt idx="0">
                  <c:v>75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'Sensitivity Table'!$C$16:$C$35</c:f>
              <c:numCache>
                <c:formatCode>_("$"* #,##0.00_);_("$"* \(#,##0.00\);_("$"* "-"??_);_(@_)</c:formatCode>
                <c:ptCount val="20"/>
                <c:pt idx="0">
                  <c:v>6647737.7821927099</c:v>
                </c:pt>
                <c:pt idx="1">
                  <c:v>6628808.9143854184</c:v>
                </c:pt>
                <c:pt idx="2">
                  <c:v>6609880.0465781279</c:v>
                </c:pt>
                <c:pt idx="3">
                  <c:v>6590951.1787708374</c:v>
                </c:pt>
                <c:pt idx="4">
                  <c:v>6572022.3109635459</c:v>
                </c:pt>
                <c:pt idx="5">
                  <c:v>6553093.4431562554</c:v>
                </c:pt>
                <c:pt idx="6">
                  <c:v>6534164.575348964</c:v>
                </c:pt>
                <c:pt idx="7">
                  <c:v>6515235.7075416744</c:v>
                </c:pt>
                <c:pt idx="8">
                  <c:v>6496306.8397343829</c:v>
                </c:pt>
                <c:pt idx="9">
                  <c:v>6477377.9719270915</c:v>
                </c:pt>
                <c:pt idx="10">
                  <c:v>6458449.104119801</c:v>
                </c:pt>
                <c:pt idx="11">
                  <c:v>6439520.2363125104</c:v>
                </c:pt>
                <c:pt idx="12">
                  <c:v>6420591.3685052199</c:v>
                </c:pt>
                <c:pt idx="13">
                  <c:v>6401662.5006979294</c:v>
                </c:pt>
                <c:pt idx="14">
                  <c:v>6382733.632890638</c:v>
                </c:pt>
                <c:pt idx="15">
                  <c:v>6363804.7650833465</c:v>
                </c:pt>
                <c:pt idx="16">
                  <c:v>6344875.897276056</c:v>
                </c:pt>
                <c:pt idx="17">
                  <c:v>6325947.0294687655</c:v>
                </c:pt>
                <c:pt idx="18">
                  <c:v>6307018.161661475</c:v>
                </c:pt>
                <c:pt idx="19">
                  <c:v>6288089.2938541844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BE-4F68-980F-C3C88E1A1DFB}"/>
            </c:ext>
          </c:extLst>
        </c:ser>
        <c:ser>
          <c:idx val="2"/>
          <c:order val="2"/>
          <c:tx>
            <c:strRef>
              <c:f>'Sensitivity Table'!$D$15</c:f>
              <c:strCache>
                <c:ptCount val="1"/>
                <c:pt idx="0">
                  <c:v>75.5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'Sensitivity Table'!$D$16:$D$35</c:f>
              <c:numCache>
                <c:formatCode>_("$"* #,##0.00_);_("$"* \(#,##0.00\);_("$"* "-"??_);_(@_)</c:formatCode>
                <c:ptCount val="20"/>
                <c:pt idx="0">
                  <c:v>5981071.1171927098</c:v>
                </c:pt>
                <c:pt idx="1">
                  <c:v>5962142.2493854184</c:v>
                </c:pt>
                <c:pt idx="2">
                  <c:v>5943213.3815781279</c:v>
                </c:pt>
                <c:pt idx="3">
                  <c:v>5924284.5137708373</c:v>
                </c:pt>
                <c:pt idx="4">
                  <c:v>5905355.6459635459</c:v>
                </c:pt>
                <c:pt idx="5">
                  <c:v>5886426.7781562554</c:v>
                </c:pt>
                <c:pt idx="6">
                  <c:v>5867497.9103489649</c:v>
                </c:pt>
                <c:pt idx="7">
                  <c:v>5848569.0425416734</c:v>
                </c:pt>
                <c:pt idx="8">
                  <c:v>5829640.1747343829</c:v>
                </c:pt>
                <c:pt idx="9">
                  <c:v>5810711.3069270924</c:v>
                </c:pt>
                <c:pt idx="10">
                  <c:v>5791782.4391198009</c:v>
                </c:pt>
                <c:pt idx="11">
                  <c:v>5772853.5713125104</c:v>
                </c:pt>
                <c:pt idx="12">
                  <c:v>5753924.7035052199</c:v>
                </c:pt>
                <c:pt idx="13">
                  <c:v>5734995.8356979284</c:v>
                </c:pt>
                <c:pt idx="14">
                  <c:v>5716066.9678906379</c:v>
                </c:pt>
                <c:pt idx="15">
                  <c:v>5697138.1000833465</c:v>
                </c:pt>
                <c:pt idx="16">
                  <c:v>5678209.232276056</c:v>
                </c:pt>
                <c:pt idx="17">
                  <c:v>5659280.3644687654</c:v>
                </c:pt>
                <c:pt idx="18">
                  <c:v>5640351.4966614749</c:v>
                </c:pt>
                <c:pt idx="19">
                  <c:v>5621422.6288541844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BE-4F68-980F-C3C88E1A1DFB}"/>
            </c:ext>
          </c:extLst>
        </c:ser>
        <c:ser>
          <c:idx val="3"/>
          <c:order val="3"/>
          <c:tx>
            <c:strRef>
              <c:f>'Sensitivity Table'!$E$15</c:f>
              <c:strCache>
                <c:ptCount val="1"/>
                <c:pt idx="0">
                  <c:v>76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'Sensitivity Table'!$E$16:$E$35</c:f>
              <c:numCache>
                <c:formatCode>_("$"* #,##0.00_);_("$"* \(#,##0.00\);_("$"* "-"??_);_(@_)</c:formatCode>
                <c:ptCount val="20"/>
                <c:pt idx="0">
                  <c:v>5314404.4521927098</c:v>
                </c:pt>
                <c:pt idx="1">
                  <c:v>5295475.5843854183</c:v>
                </c:pt>
                <c:pt idx="2">
                  <c:v>5276546.7165781278</c:v>
                </c:pt>
                <c:pt idx="3">
                  <c:v>5257617.8487708373</c:v>
                </c:pt>
                <c:pt idx="4">
                  <c:v>5238688.9809635459</c:v>
                </c:pt>
                <c:pt idx="5">
                  <c:v>5219760.1131562553</c:v>
                </c:pt>
                <c:pt idx="6">
                  <c:v>5200831.2453489639</c:v>
                </c:pt>
                <c:pt idx="7">
                  <c:v>5181902.3775416743</c:v>
                </c:pt>
                <c:pt idx="8">
                  <c:v>5162973.5097343829</c:v>
                </c:pt>
                <c:pt idx="9">
                  <c:v>5144044.6419270914</c:v>
                </c:pt>
                <c:pt idx="10">
                  <c:v>5125115.7741198009</c:v>
                </c:pt>
                <c:pt idx="11">
                  <c:v>5106186.9063125104</c:v>
                </c:pt>
                <c:pt idx="12">
                  <c:v>5087258.0385052199</c:v>
                </c:pt>
                <c:pt idx="13">
                  <c:v>5068329.1706979293</c:v>
                </c:pt>
                <c:pt idx="14">
                  <c:v>5049400.3028906379</c:v>
                </c:pt>
                <c:pt idx="15">
                  <c:v>5030471.4350833464</c:v>
                </c:pt>
                <c:pt idx="16">
                  <c:v>5011542.5672760559</c:v>
                </c:pt>
                <c:pt idx="17">
                  <c:v>4992613.6994687654</c:v>
                </c:pt>
                <c:pt idx="18">
                  <c:v>4973684.8316614749</c:v>
                </c:pt>
                <c:pt idx="19">
                  <c:v>4954755.9638541844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BE-4F68-980F-C3C88E1A1DFB}"/>
            </c:ext>
          </c:extLst>
        </c:ser>
        <c:ser>
          <c:idx val="4"/>
          <c:order val="4"/>
          <c:tx>
            <c:strRef>
              <c:f>'Sensitivity Table'!$F$15</c:f>
              <c:strCache>
                <c:ptCount val="1"/>
                <c:pt idx="0">
                  <c:v>76.5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'Sensitivity Table'!$F$16:$F$35</c:f>
              <c:numCache>
                <c:formatCode>_("$"* #,##0.00_);_("$"* \(#,##0.00\);_("$"* "-"??_);_(@_)</c:formatCode>
                <c:ptCount val="20"/>
                <c:pt idx="0">
                  <c:v>4647737.7871927097</c:v>
                </c:pt>
                <c:pt idx="1">
                  <c:v>4628808.9193854183</c:v>
                </c:pt>
                <c:pt idx="2">
                  <c:v>4609880.0515781278</c:v>
                </c:pt>
                <c:pt idx="3">
                  <c:v>4590951.1837708373</c:v>
                </c:pt>
                <c:pt idx="4">
                  <c:v>4572022.3159635458</c:v>
                </c:pt>
                <c:pt idx="5">
                  <c:v>4553093.4481562553</c:v>
                </c:pt>
                <c:pt idx="6">
                  <c:v>4534164.5803489648</c:v>
                </c:pt>
                <c:pt idx="7">
                  <c:v>4515235.7125416733</c:v>
                </c:pt>
                <c:pt idx="8">
                  <c:v>4496306.8447343828</c:v>
                </c:pt>
                <c:pt idx="9">
                  <c:v>4477377.9769270923</c:v>
                </c:pt>
                <c:pt idx="10">
                  <c:v>4458449.1091198009</c:v>
                </c:pt>
                <c:pt idx="11">
                  <c:v>4439520.2413125103</c:v>
                </c:pt>
                <c:pt idx="12">
                  <c:v>4420591.3735052198</c:v>
                </c:pt>
                <c:pt idx="13">
                  <c:v>4401662.5056979284</c:v>
                </c:pt>
                <c:pt idx="14">
                  <c:v>4382733.6378906379</c:v>
                </c:pt>
                <c:pt idx="15">
                  <c:v>4363804.7700833464</c:v>
                </c:pt>
                <c:pt idx="16">
                  <c:v>4344875.9022760559</c:v>
                </c:pt>
                <c:pt idx="17">
                  <c:v>4325947.0344687654</c:v>
                </c:pt>
                <c:pt idx="18">
                  <c:v>4307018.1666614749</c:v>
                </c:pt>
                <c:pt idx="19">
                  <c:v>4288089.2988541843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BE-4F68-980F-C3C88E1A1DFB}"/>
            </c:ext>
          </c:extLst>
        </c:ser>
        <c:ser>
          <c:idx val="5"/>
          <c:order val="5"/>
          <c:tx>
            <c:strRef>
              <c:f>'Sensitivity Table'!$G$15</c:f>
              <c:strCache>
                <c:ptCount val="1"/>
                <c:pt idx="0">
                  <c:v>77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'Sensitivity Table'!$G$16:$G$35</c:f>
              <c:numCache>
                <c:formatCode>_("$"* #,##0.00_);_("$"* \(#,##0.00\);_("$"* "-"??_);_(@_)</c:formatCode>
                <c:ptCount val="20"/>
                <c:pt idx="0">
                  <c:v>3981071.1221927092</c:v>
                </c:pt>
                <c:pt idx="1">
                  <c:v>3962142.2543854187</c:v>
                </c:pt>
                <c:pt idx="2">
                  <c:v>3943213.3865781277</c:v>
                </c:pt>
                <c:pt idx="3">
                  <c:v>3924284.5187708372</c:v>
                </c:pt>
                <c:pt idx="4">
                  <c:v>3905355.6509635458</c:v>
                </c:pt>
                <c:pt idx="5">
                  <c:v>3886426.7831562553</c:v>
                </c:pt>
                <c:pt idx="6">
                  <c:v>3867497.9153489643</c:v>
                </c:pt>
                <c:pt idx="7">
                  <c:v>3848569.0475416738</c:v>
                </c:pt>
                <c:pt idx="8">
                  <c:v>3829640.1797343828</c:v>
                </c:pt>
                <c:pt idx="9">
                  <c:v>3810711.3119270918</c:v>
                </c:pt>
                <c:pt idx="10">
                  <c:v>3791782.4441198008</c:v>
                </c:pt>
                <c:pt idx="11">
                  <c:v>3772853.5763125103</c:v>
                </c:pt>
                <c:pt idx="12">
                  <c:v>3753924.7085052198</c:v>
                </c:pt>
                <c:pt idx="13">
                  <c:v>3734995.8406979288</c:v>
                </c:pt>
                <c:pt idx="14">
                  <c:v>3716066.9728906378</c:v>
                </c:pt>
                <c:pt idx="15">
                  <c:v>3697138.1050833464</c:v>
                </c:pt>
                <c:pt idx="16">
                  <c:v>3678209.2372760559</c:v>
                </c:pt>
                <c:pt idx="17">
                  <c:v>3659280.3694687653</c:v>
                </c:pt>
                <c:pt idx="18">
                  <c:v>3640351.5016614748</c:v>
                </c:pt>
                <c:pt idx="19">
                  <c:v>3621422.6338541843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EBE-4F68-980F-C3C88E1A1DFB}"/>
            </c:ext>
          </c:extLst>
        </c:ser>
        <c:ser>
          <c:idx val="6"/>
          <c:order val="6"/>
          <c:tx>
            <c:strRef>
              <c:f>'Sensitivity Table'!$H$15</c:f>
              <c:strCache>
                <c:ptCount val="1"/>
                <c:pt idx="0">
                  <c:v>77.5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'Sensitivity Table'!$H$16:$H$35</c:f>
              <c:numCache>
                <c:formatCode>_("$"* #,##0.00_);_("$"* \(#,##0.00\);_("$"* "-"??_);_(@_)</c:formatCode>
                <c:ptCount val="20"/>
                <c:pt idx="0">
                  <c:v>3314404.4571927092</c:v>
                </c:pt>
                <c:pt idx="1">
                  <c:v>3295475.5893854187</c:v>
                </c:pt>
                <c:pt idx="2">
                  <c:v>3276546.7215781277</c:v>
                </c:pt>
                <c:pt idx="3">
                  <c:v>3257617.8537708372</c:v>
                </c:pt>
                <c:pt idx="4">
                  <c:v>3238688.9859635457</c:v>
                </c:pt>
                <c:pt idx="5">
                  <c:v>3219760.1181562552</c:v>
                </c:pt>
                <c:pt idx="6">
                  <c:v>3200831.2503489642</c:v>
                </c:pt>
                <c:pt idx="7">
                  <c:v>3181902.3825416737</c:v>
                </c:pt>
                <c:pt idx="8">
                  <c:v>3162973.5147343827</c:v>
                </c:pt>
                <c:pt idx="9">
                  <c:v>3144044.6469270918</c:v>
                </c:pt>
                <c:pt idx="10">
                  <c:v>3125115.7791198008</c:v>
                </c:pt>
                <c:pt idx="11">
                  <c:v>3106186.9113125103</c:v>
                </c:pt>
                <c:pt idx="12">
                  <c:v>3087258.0435052197</c:v>
                </c:pt>
                <c:pt idx="13">
                  <c:v>3068329.1756979288</c:v>
                </c:pt>
                <c:pt idx="14">
                  <c:v>3049400.3078906378</c:v>
                </c:pt>
                <c:pt idx="15">
                  <c:v>3030471.4400833463</c:v>
                </c:pt>
                <c:pt idx="16">
                  <c:v>3011542.5722760558</c:v>
                </c:pt>
                <c:pt idx="17">
                  <c:v>2992613.7044687653</c:v>
                </c:pt>
                <c:pt idx="18">
                  <c:v>2973684.8366614748</c:v>
                </c:pt>
                <c:pt idx="19">
                  <c:v>2954755.9688541843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BE-4F68-980F-C3C88E1A1DFB}"/>
            </c:ext>
          </c:extLst>
        </c:ser>
        <c:ser>
          <c:idx val="7"/>
          <c:order val="7"/>
          <c:tx>
            <c:strRef>
              <c:f>'Sensitivity Table'!$I$15</c:f>
              <c:strCache>
                <c:ptCount val="1"/>
                <c:pt idx="0">
                  <c:v>78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'Sensitivity Table'!$I$16:$I$35</c:f>
              <c:numCache>
                <c:formatCode>_("$"* #,##0.00_);_("$"* \(#,##0.00\);_("$"* "-"??_);_(@_)</c:formatCode>
                <c:ptCount val="20"/>
                <c:pt idx="0">
                  <c:v>2647737.7921927092</c:v>
                </c:pt>
                <c:pt idx="1">
                  <c:v>2628808.9243854186</c:v>
                </c:pt>
                <c:pt idx="2">
                  <c:v>2609880.0565781277</c:v>
                </c:pt>
                <c:pt idx="3">
                  <c:v>2590951.1887708372</c:v>
                </c:pt>
                <c:pt idx="4">
                  <c:v>2572022.3209635457</c:v>
                </c:pt>
                <c:pt idx="5">
                  <c:v>2553093.4531562552</c:v>
                </c:pt>
                <c:pt idx="6">
                  <c:v>2534164.5853489642</c:v>
                </c:pt>
                <c:pt idx="7">
                  <c:v>2515235.7175416737</c:v>
                </c:pt>
                <c:pt idx="8">
                  <c:v>2496306.8497343827</c:v>
                </c:pt>
                <c:pt idx="9">
                  <c:v>2477377.9819270917</c:v>
                </c:pt>
                <c:pt idx="10">
                  <c:v>2458449.1141198007</c:v>
                </c:pt>
                <c:pt idx="11">
                  <c:v>2439520.2463125102</c:v>
                </c:pt>
                <c:pt idx="12">
                  <c:v>2420591.3785052197</c:v>
                </c:pt>
                <c:pt idx="13">
                  <c:v>2401662.5106979287</c:v>
                </c:pt>
                <c:pt idx="14">
                  <c:v>2382733.6428906377</c:v>
                </c:pt>
                <c:pt idx="15">
                  <c:v>2363804.7750833463</c:v>
                </c:pt>
                <c:pt idx="16">
                  <c:v>2344875.9072760558</c:v>
                </c:pt>
                <c:pt idx="17">
                  <c:v>2325947.0394687653</c:v>
                </c:pt>
                <c:pt idx="18">
                  <c:v>2307018.1716614747</c:v>
                </c:pt>
                <c:pt idx="19">
                  <c:v>2288089.3038541842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EBE-4F68-980F-C3C88E1A1DFB}"/>
            </c:ext>
          </c:extLst>
        </c:ser>
        <c:ser>
          <c:idx val="8"/>
          <c:order val="8"/>
          <c:tx>
            <c:strRef>
              <c:f>'Sensitivity Table'!$J$15</c:f>
              <c:strCache>
                <c:ptCount val="1"/>
                <c:pt idx="0">
                  <c:v>78.5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'Sensitivity Table'!$J$16:$J$35</c:f>
              <c:numCache>
                <c:formatCode>_("$"* #,##0.00_);_("$"* \(#,##0.00\);_("$"* "-"??_);_(@_)</c:formatCode>
                <c:ptCount val="20"/>
                <c:pt idx="0">
                  <c:v>1981071.1271927094</c:v>
                </c:pt>
                <c:pt idx="1">
                  <c:v>1962142.2593854186</c:v>
                </c:pt>
                <c:pt idx="2">
                  <c:v>1943213.3915781276</c:v>
                </c:pt>
                <c:pt idx="3">
                  <c:v>1924284.5237708369</c:v>
                </c:pt>
                <c:pt idx="4">
                  <c:v>1905355.6559635459</c:v>
                </c:pt>
                <c:pt idx="5">
                  <c:v>1886426.7881562551</c:v>
                </c:pt>
                <c:pt idx="6">
                  <c:v>1867497.9203489642</c:v>
                </c:pt>
                <c:pt idx="7">
                  <c:v>1848569.0525416736</c:v>
                </c:pt>
                <c:pt idx="8">
                  <c:v>1829640.1847343827</c:v>
                </c:pt>
                <c:pt idx="9">
                  <c:v>1810711.3169270917</c:v>
                </c:pt>
                <c:pt idx="10">
                  <c:v>1791782.4491198007</c:v>
                </c:pt>
                <c:pt idx="11">
                  <c:v>1772853.5813125102</c:v>
                </c:pt>
                <c:pt idx="12">
                  <c:v>1753924.7135052197</c:v>
                </c:pt>
                <c:pt idx="13">
                  <c:v>1734995.8456979287</c:v>
                </c:pt>
                <c:pt idx="14">
                  <c:v>1716066.9778906377</c:v>
                </c:pt>
                <c:pt idx="15">
                  <c:v>1697138.1100833463</c:v>
                </c:pt>
                <c:pt idx="16">
                  <c:v>1678209.2422760557</c:v>
                </c:pt>
                <c:pt idx="17">
                  <c:v>1659280.3744687652</c:v>
                </c:pt>
                <c:pt idx="18">
                  <c:v>1640351.5066614747</c:v>
                </c:pt>
                <c:pt idx="19">
                  <c:v>1621422.6388541842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EBE-4F68-980F-C3C88E1A1DFB}"/>
            </c:ext>
          </c:extLst>
        </c:ser>
        <c:ser>
          <c:idx val="9"/>
          <c:order val="9"/>
          <c:tx>
            <c:strRef>
              <c:f>'Sensitivity Table'!$K$15</c:f>
              <c:strCache>
                <c:ptCount val="1"/>
                <c:pt idx="0">
                  <c:v>79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'Sensitivity Table'!$K$16:$K$35</c:f>
              <c:numCache>
                <c:formatCode>_("$"* #,##0.00_);_("$"* \(#,##0.00\);_("$"* "-"??_);_(@_)</c:formatCode>
                <c:ptCount val="20"/>
                <c:pt idx="0">
                  <c:v>1314404.4621927093</c:v>
                </c:pt>
                <c:pt idx="1">
                  <c:v>1295475.5943854186</c:v>
                </c:pt>
                <c:pt idx="2">
                  <c:v>1276546.7265781276</c:v>
                </c:pt>
                <c:pt idx="3">
                  <c:v>1257617.8587708368</c:v>
                </c:pt>
                <c:pt idx="4">
                  <c:v>1238688.9909635459</c:v>
                </c:pt>
                <c:pt idx="5">
                  <c:v>1219760.1231562551</c:v>
                </c:pt>
                <c:pt idx="6">
                  <c:v>1200831.2553489641</c:v>
                </c:pt>
                <c:pt idx="7">
                  <c:v>1181902.3875416736</c:v>
                </c:pt>
                <c:pt idx="8">
                  <c:v>1162973.5197343826</c:v>
                </c:pt>
                <c:pt idx="9">
                  <c:v>1144044.6519270916</c:v>
                </c:pt>
                <c:pt idx="10">
                  <c:v>1125115.7841198007</c:v>
                </c:pt>
                <c:pt idx="11">
                  <c:v>1106186.9163125101</c:v>
                </c:pt>
                <c:pt idx="12">
                  <c:v>1087258.0485052196</c:v>
                </c:pt>
                <c:pt idx="13">
                  <c:v>1068329.1806979286</c:v>
                </c:pt>
                <c:pt idx="14">
                  <c:v>1049400.3128906377</c:v>
                </c:pt>
                <c:pt idx="15">
                  <c:v>1030471.4450833462</c:v>
                </c:pt>
                <c:pt idx="16">
                  <c:v>1011542.5772760557</c:v>
                </c:pt>
                <c:pt idx="17">
                  <c:v>992613.70946876518</c:v>
                </c:pt>
                <c:pt idx="18">
                  <c:v>973684.84166147467</c:v>
                </c:pt>
                <c:pt idx="19">
                  <c:v>954755.97385418415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EBE-4F68-980F-C3C88E1A1DFB}"/>
            </c:ext>
          </c:extLst>
        </c:ser>
        <c:ser>
          <c:idx val="10"/>
          <c:order val="10"/>
          <c:tx>
            <c:strRef>
              <c:f>'Sensitivity Table'!$L$15</c:f>
              <c:strCache>
                <c:ptCount val="1"/>
                <c:pt idx="0">
                  <c:v>79.5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'Sensitivity Table'!$L$16:$L$35</c:f>
              <c:numCache>
                <c:formatCode>_("$"* #,##0.00_);_("$"* \(#,##0.00\);_("$"* "-"??_);_(@_)</c:formatCode>
                <c:ptCount val="20"/>
                <c:pt idx="0">
                  <c:v>647737.79719270929</c:v>
                </c:pt>
                <c:pt idx="1">
                  <c:v>628808.92938541842</c:v>
                </c:pt>
                <c:pt idx="2">
                  <c:v>609880.06157812767</c:v>
                </c:pt>
                <c:pt idx="3">
                  <c:v>590951.19377083681</c:v>
                </c:pt>
                <c:pt idx="4">
                  <c:v>572022.32596354582</c:v>
                </c:pt>
                <c:pt idx="5">
                  <c:v>553093.45815625507</c:v>
                </c:pt>
                <c:pt idx="6">
                  <c:v>534164.59034896409</c:v>
                </c:pt>
                <c:pt idx="7">
                  <c:v>515235.72254167357</c:v>
                </c:pt>
                <c:pt idx="8">
                  <c:v>496306.85473438259</c:v>
                </c:pt>
                <c:pt idx="9">
                  <c:v>477377.98692709161</c:v>
                </c:pt>
                <c:pt idx="10">
                  <c:v>458449.11911980063</c:v>
                </c:pt>
                <c:pt idx="11">
                  <c:v>439520.25131251011</c:v>
                </c:pt>
                <c:pt idx="12">
                  <c:v>420591.38350521959</c:v>
                </c:pt>
                <c:pt idx="13">
                  <c:v>401662.51569792861</c:v>
                </c:pt>
                <c:pt idx="14">
                  <c:v>382733.64789063763</c:v>
                </c:pt>
                <c:pt idx="15">
                  <c:v>363804.78008334618</c:v>
                </c:pt>
                <c:pt idx="16">
                  <c:v>344875.91227605566</c:v>
                </c:pt>
                <c:pt idx="17">
                  <c:v>325947.04446876515</c:v>
                </c:pt>
                <c:pt idx="18">
                  <c:v>307018.17666147463</c:v>
                </c:pt>
                <c:pt idx="19">
                  <c:v>288089.30885418411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EBE-4F68-980F-C3C88E1A1DFB}"/>
            </c:ext>
          </c:extLst>
        </c:ser>
        <c:ser>
          <c:idx val="11"/>
          <c:order val="11"/>
          <c:tx>
            <c:strRef>
              <c:f>'Sensitivity Table'!$M$15</c:f>
              <c:strCache>
                <c:ptCount val="1"/>
                <c:pt idx="0">
                  <c:v>80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'Sensitivity Table'!$M$16:$M$35</c:f>
              <c:numCache>
                <c:formatCode>_("$"* #,##0.00_);_("$"* \(#,##0.00\);_("$"* "-"??_);_(@_)</c:formatCode>
                <c:ptCount val="20"/>
                <c:pt idx="0">
                  <c:v>-18928.867807290808</c:v>
                </c:pt>
                <c:pt idx="1">
                  <c:v>-37857.735614581616</c:v>
                </c:pt>
                <c:pt idx="2">
                  <c:v>-56786.603421872365</c:v>
                </c:pt>
                <c:pt idx="3">
                  <c:v>-75715.471229163231</c:v>
                </c:pt>
                <c:pt idx="4">
                  <c:v>-94644.339036454214</c:v>
                </c:pt>
                <c:pt idx="5">
                  <c:v>-113573.20684374496</c:v>
                </c:pt>
                <c:pt idx="6">
                  <c:v>-132502.07465103595</c:v>
                </c:pt>
                <c:pt idx="7">
                  <c:v>-151430.94245832646</c:v>
                </c:pt>
                <c:pt idx="8">
                  <c:v>-170359.81026561745</c:v>
                </c:pt>
                <c:pt idx="9">
                  <c:v>-189288.67807290843</c:v>
                </c:pt>
                <c:pt idx="10">
                  <c:v>-208217.54588019941</c:v>
                </c:pt>
                <c:pt idx="11">
                  <c:v>-227146.41368748993</c:v>
                </c:pt>
                <c:pt idx="12">
                  <c:v>-246075.28149478044</c:v>
                </c:pt>
                <c:pt idx="13">
                  <c:v>-265004.14930207143</c:v>
                </c:pt>
                <c:pt idx="14">
                  <c:v>-283933.01710936241</c:v>
                </c:pt>
                <c:pt idx="15">
                  <c:v>-302861.88491665386</c:v>
                </c:pt>
                <c:pt idx="16">
                  <c:v>-321790.75272394437</c:v>
                </c:pt>
                <c:pt idx="17">
                  <c:v>-340719.62053123489</c:v>
                </c:pt>
                <c:pt idx="18">
                  <c:v>-359648.48833852541</c:v>
                </c:pt>
                <c:pt idx="19">
                  <c:v>-378577.35614581592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EBE-4F68-980F-C3C88E1A1DFB}"/>
            </c:ext>
          </c:extLst>
        </c:ser>
        <c:ser>
          <c:idx val="12"/>
          <c:order val="12"/>
          <c:tx>
            <c:strRef>
              <c:f>'Sensitivity Table'!$N$15</c:f>
              <c:strCache>
                <c:ptCount val="1"/>
                <c:pt idx="0">
                  <c:v>80.5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'Sensitivity Table'!$N$16:$N$35</c:f>
              <c:numCache>
                <c:formatCode>_("$"* #,##0.00_);_("$"* \(#,##0.00\);_("$"* "-"??_);_(@_)</c:formatCode>
                <c:ptCount val="20"/>
                <c:pt idx="0">
                  <c:v>-685595.53280729079</c:v>
                </c:pt>
                <c:pt idx="1">
                  <c:v>-704524.40061458165</c:v>
                </c:pt>
                <c:pt idx="2">
                  <c:v>-723453.2684218724</c:v>
                </c:pt>
                <c:pt idx="3">
                  <c:v>-742382.13622916327</c:v>
                </c:pt>
                <c:pt idx="4">
                  <c:v>-761311.00403645425</c:v>
                </c:pt>
                <c:pt idx="5">
                  <c:v>-780239.871843745</c:v>
                </c:pt>
                <c:pt idx="6">
                  <c:v>-799168.73965103598</c:v>
                </c:pt>
                <c:pt idx="7">
                  <c:v>-818097.6074583265</c:v>
                </c:pt>
                <c:pt idx="8">
                  <c:v>-837026.47526561748</c:v>
                </c:pt>
                <c:pt idx="9">
                  <c:v>-855955.34307290846</c:v>
                </c:pt>
                <c:pt idx="10">
                  <c:v>-874884.21088019945</c:v>
                </c:pt>
                <c:pt idx="11">
                  <c:v>-893813.07868748996</c:v>
                </c:pt>
                <c:pt idx="12">
                  <c:v>-912741.94649478048</c:v>
                </c:pt>
                <c:pt idx="13">
                  <c:v>-931670.81430207146</c:v>
                </c:pt>
                <c:pt idx="14">
                  <c:v>-950599.68210936245</c:v>
                </c:pt>
                <c:pt idx="15">
                  <c:v>-969528.54991665389</c:v>
                </c:pt>
                <c:pt idx="16">
                  <c:v>-988457.41772394441</c:v>
                </c:pt>
                <c:pt idx="17">
                  <c:v>-1007386.2855312349</c:v>
                </c:pt>
                <c:pt idx="18">
                  <c:v>-1026315.1533385254</c:v>
                </c:pt>
                <c:pt idx="19">
                  <c:v>-1045244.021145816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EBE-4F68-980F-C3C88E1A1DFB}"/>
            </c:ext>
          </c:extLst>
        </c:ser>
        <c:ser>
          <c:idx val="13"/>
          <c:order val="13"/>
          <c:tx>
            <c:strRef>
              <c:f>'Sensitivity Table'!$O$15</c:f>
              <c:strCache>
                <c:ptCount val="1"/>
                <c:pt idx="0">
                  <c:v>81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'Sensitivity Table'!$O$16:$O$35</c:f>
              <c:numCache>
                <c:formatCode>_("$"* #,##0.00_);_("$"* \(#,##0.00\);_("$"* "-"??_);_(@_)</c:formatCode>
                <c:ptCount val="20"/>
                <c:pt idx="0">
                  <c:v>-1352262.1978072908</c:v>
                </c:pt>
                <c:pt idx="1">
                  <c:v>-1371191.0656145816</c:v>
                </c:pt>
                <c:pt idx="2">
                  <c:v>-1390119.9334218726</c:v>
                </c:pt>
                <c:pt idx="3">
                  <c:v>-1409048.8012291633</c:v>
                </c:pt>
                <c:pt idx="4">
                  <c:v>-1427977.6690364543</c:v>
                </c:pt>
                <c:pt idx="5">
                  <c:v>-1446906.536843745</c:v>
                </c:pt>
                <c:pt idx="6">
                  <c:v>-1465835.404651036</c:v>
                </c:pt>
                <c:pt idx="7">
                  <c:v>-1484764.2724583265</c:v>
                </c:pt>
                <c:pt idx="8">
                  <c:v>-1503693.1402656175</c:v>
                </c:pt>
                <c:pt idx="9">
                  <c:v>-1522622.0080729085</c:v>
                </c:pt>
                <c:pt idx="10">
                  <c:v>-1541550.8758801995</c:v>
                </c:pt>
                <c:pt idx="11">
                  <c:v>-1560479.74368749</c:v>
                </c:pt>
                <c:pt idx="12">
                  <c:v>-1579408.6114947805</c:v>
                </c:pt>
                <c:pt idx="13">
                  <c:v>-1598337.4793020715</c:v>
                </c:pt>
                <c:pt idx="14">
                  <c:v>-1617266.3471093625</c:v>
                </c:pt>
                <c:pt idx="15">
                  <c:v>-1636195.2149166539</c:v>
                </c:pt>
                <c:pt idx="16">
                  <c:v>-1655124.0827239444</c:v>
                </c:pt>
                <c:pt idx="17">
                  <c:v>-1674052.950531235</c:v>
                </c:pt>
                <c:pt idx="18">
                  <c:v>-1692981.8183385255</c:v>
                </c:pt>
                <c:pt idx="19">
                  <c:v>-1711910.686145816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EBE-4F68-980F-C3C88E1A1DFB}"/>
            </c:ext>
          </c:extLst>
        </c:ser>
        <c:ser>
          <c:idx val="14"/>
          <c:order val="14"/>
          <c:tx>
            <c:strRef>
              <c:f>'Sensitivity Table'!$P$15</c:f>
              <c:strCache>
                <c:ptCount val="1"/>
                <c:pt idx="0">
                  <c:v>81.5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'Sensitivity Table'!$P$16:$P$35</c:f>
              <c:numCache>
                <c:formatCode>_("$"* #,##0.00_);_("$"* \(#,##0.00\);_("$"* "-"??_);_(@_)</c:formatCode>
                <c:ptCount val="20"/>
                <c:pt idx="0">
                  <c:v>-2018928.8628072909</c:v>
                </c:pt>
                <c:pt idx="1">
                  <c:v>-2037857.7306145816</c:v>
                </c:pt>
                <c:pt idx="2">
                  <c:v>-2056786.5984218726</c:v>
                </c:pt>
                <c:pt idx="3">
                  <c:v>-2075715.4662291633</c:v>
                </c:pt>
                <c:pt idx="4">
                  <c:v>-2094644.3340364543</c:v>
                </c:pt>
                <c:pt idx="5">
                  <c:v>-2113573.2018437451</c:v>
                </c:pt>
                <c:pt idx="6">
                  <c:v>-2132502.0696510361</c:v>
                </c:pt>
                <c:pt idx="7">
                  <c:v>-2151430.9374583266</c:v>
                </c:pt>
                <c:pt idx="8">
                  <c:v>-2170359.8052656176</c:v>
                </c:pt>
                <c:pt idx="9">
                  <c:v>-2189288.6730729085</c:v>
                </c:pt>
                <c:pt idx="10">
                  <c:v>-2208217.5408801995</c:v>
                </c:pt>
                <c:pt idx="11">
                  <c:v>-2227146.40868749</c:v>
                </c:pt>
                <c:pt idx="12">
                  <c:v>-2246075.2764947806</c:v>
                </c:pt>
                <c:pt idx="13">
                  <c:v>-2265004.1443020715</c:v>
                </c:pt>
                <c:pt idx="14">
                  <c:v>-2283933.0121093625</c:v>
                </c:pt>
                <c:pt idx="15">
                  <c:v>-2302861.879916654</c:v>
                </c:pt>
                <c:pt idx="16">
                  <c:v>-2321790.7477239445</c:v>
                </c:pt>
                <c:pt idx="17">
                  <c:v>-2340719.615531235</c:v>
                </c:pt>
                <c:pt idx="18">
                  <c:v>-2359648.4833385255</c:v>
                </c:pt>
                <c:pt idx="19">
                  <c:v>-2378577.351145816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EBE-4F68-980F-C3C88E1A1DFB}"/>
            </c:ext>
          </c:extLst>
        </c:ser>
        <c:ser>
          <c:idx val="15"/>
          <c:order val="15"/>
          <c:tx>
            <c:strRef>
              <c:f>'Sensitivity Table'!$Q$15</c:f>
              <c:strCache>
                <c:ptCount val="1"/>
                <c:pt idx="0">
                  <c:v>82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'Sensitivity Table'!$Q$16:$Q$35</c:f>
              <c:numCache>
                <c:formatCode>_("$"* #,##0.00_);_("$"* \(#,##0.00\);_("$"* "-"??_);_(@_)</c:formatCode>
                <c:ptCount val="20"/>
                <c:pt idx="0">
                  <c:v>-2685595.5278072911</c:v>
                </c:pt>
                <c:pt idx="1">
                  <c:v>-2704524.3956145816</c:v>
                </c:pt>
                <c:pt idx="2">
                  <c:v>-2723453.2634218726</c:v>
                </c:pt>
                <c:pt idx="3">
                  <c:v>-2742382.1312291631</c:v>
                </c:pt>
                <c:pt idx="4">
                  <c:v>-2761310.9990364546</c:v>
                </c:pt>
                <c:pt idx="5">
                  <c:v>-2780239.8668437451</c:v>
                </c:pt>
                <c:pt idx="6">
                  <c:v>-2799168.7346510361</c:v>
                </c:pt>
                <c:pt idx="7">
                  <c:v>-2818097.6024583266</c:v>
                </c:pt>
                <c:pt idx="8">
                  <c:v>-2837026.4702656176</c:v>
                </c:pt>
                <c:pt idx="9">
                  <c:v>-2855955.3380729086</c:v>
                </c:pt>
                <c:pt idx="10">
                  <c:v>-2874884.2058801996</c:v>
                </c:pt>
                <c:pt idx="11">
                  <c:v>-2893813.0736874901</c:v>
                </c:pt>
                <c:pt idx="12">
                  <c:v>-2912741.9414947806</c:v>
                </c:pt>
                <c:pt idx="13">
                  <c:v>-2931670.8093020716</c:v>
                </c:pt>
                <c:pt idx="14">
                  <c:v>-2950599.6771093626</c:v>
                </c:pt>
                <c:pt idx="15">
                  <c:v>-2969528.544916654</c:v>
                </c:pt>
                <c:pt idx="16">
                  <c:v>-2988457.4127239445</c:v>
                </c:pt>
                <c:pt idx="17">
                  <c:v>-3007386.280531235</c:v>
                </c:pt>
                <c:pt idx="18">
                  <c:v>-3026315.1483385256</c:v>
                </c:pt>
                <c:pt idx="19">
                  <c:v>-3045244.0161458161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EBE-4F68-980F-C3C88E1A1DFB}"/>
            </c:ext>
          </c:extLst>
        </c:ser>
        <c:ser>
          <c:idx val="16"/>
          <c:order val="16"/>
          <c:tx>
            <c:strRef>
              <c:f>'Sensitivity Table'!$R$15</c:f>
              <c:strCache>
                <c:ptCount val="1"/>
                <c:pt idx="0">
                  <c:v>82.5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'Sensitivity Table'!$R$16:$R$35</c:f>
              <c:numCache>
                <c:formatCode>_("$"* #,##0.00_);_("$"* \(#,##0.00\);_("$"* "-"??_);_(@_)</c:formatCode>
                <c:ptCount val="20"/>
                <c:pt idx="0">
                  <c:v>-3352262.1928072912</c:v>
                </c:pt>
                <c:pt idx="1">
                  <c:v>-3371191.0606145817</c:v>
                </c:pt>
                <c:pt idx="2">
                  <c:v>-3390119.9284218727</c:v>
                </c:pt>
                <c:pt idx="3">
                  <c:v>-3409048.7962291632</c:v>
                </c:pt>
                <c:pt idx="4">
                  <c:v>-3427977.6640364546</c:v>
                </c:pt>
                <c:pt idx="5">
                  <c:v>-3446906.5318437451</c:v>
                </c:pt>
                <c:pt idx="6">
                  <c:v>-3465835.3996510361</c:v>
                </c:pt>
                <c:pt idx="7">
                  <c:v>-3484764.2674583266</c:v>
                </c:pt>
                <c:pt idx="8">
                  <c:v>-3503693.1352656176</c:v>
                </c:pt>
                <c:pt idx="9">
                  <c:v>-3522622.0030729086</c:v>
                </c:pt>
                <c:pt idx="10">
                  <c:v>-3541550.8708801996</c:v>
                </c:pt>
                <c:pt idx="11">
                  <c:v>-3560479.7386874901</c:v>
                </c:pt>
                <c:pt idx="12">
                  <c:v>-3579408.6064947806</c:v>
                </c:pt>
                <c:pt idx="13">
                  <c:v>-3598337.4743020716</c:v>
                </c:pt>
                <c:pt idx="14">
                  <c:v>-3617266.3421093626</c:v>
                </c:pt>
                <c:pt idx="15">
                  <c:v>-3636195.209916654</c:v>
                </c:pt>
                <c:pt idx="16">
                  <c:v>-3655124.0777239446</c:v>
                </c:pt>
                <c:pt idx="17">
                  <c:v>-3674052.9455312351</c:v>
                </c:pt>
                <c:pt idx="18">
                  <c:v>-3692981.8133385256</c:v>
                </c:pt>
                <c:pt idx="19">
                  <c:v>-3711910.6811458161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EBE-4F68-980F-C3C88E1A1DFB}"/>
            </c:ext>
          </c:extLst>
        </c:ser>
        <c:ser>
          <c:idx val="17"/>
          <c:order val="17"/>
          <c:tx>
            <c:strRef>
              <c:f>'Sensitivity Table'!$S$15</c:f>
              <c:strCache>
                <c:ptCount val="1"/>
                <c:pt idx="0">
                  <c:v>83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'Sensitivity Table'!$S$16:$S$35</c:f>
              <c:numCache>
                <c:formatCode>_("$"* #,##0.00_);_("$"* \(#,##0.00\);_("$"* "-"??_);_(@_)</c:formatCode>
                <c:ptCount val="20"/>
                <c:pt idx="0">
                  <c:v>-4018928.8578072912</c:v>
                </c:pt>
                <c:pt idx="1">
                  <c:v>-4037857.7256145817</c:v>
                </c:pt>
                <c:pt idx="2">
                  <c:v>-4056786.5934218727</c:v>
                </c:pt>
                <c:pt idx="3">
                  <c:v>-4075715.4612291632</c:v>
                </c:pt>
                <c:pt idx="4">
                  <c:v>-4094644.3290364547</c:v>
                </c:pt>
                <c:pt idx="5">
                  <c:v>-4113573.1968437452</c:v>
                </c:pt>
                <c:pt idx="6">
                  <c:v>-4132502.0646510362</c:v>
                </c:pt>
                <c:pt idx="7">
                  <c:v>-4151430.9324583267</c:v>
                </c:pt>
                <c:pt idx="8">
                  <c:v>-4170359.8002656177</c:v>
                </c:pt>
                <c:pt idx="9">
                  <c:v>-4189288.6680729087</c:v>
                </c:pt>
                <c:pt idx="10">
                  <c:v>-4208217.5358801996</c:v>
                </c:pt>
                <c:pt idx="11">
                  <c:v>-4227146.4036874902</c:v>
                </c:pt>
                <c:pt idx="12">
                  <c:v>-4246075.2714947807</c:v>
                </c:pt>
                <c:pt idx="13">
                  <c:v>-4265004.1393020712</c:v>
                </c:pt>
                <c:pt idx="14">
                  <c:v>-4283933.0071093626</c:v>
                </c:pt>
                <c:pt idx="15">
                  <c:v>-4302861.8749166541</c:v>
                </c:pt>
                <c:pt idx="16">
                  <c:v>-4321790.7427239446</c:v>
                </c:pt>
                <c:pt idx="17">
                  <c:v>-4340719.6105312351</c:v>
                </c:pt>
                <c:pt idx="18">
                  <c:v>-4359648.4783385256</c:v>
                </c:pt>
                <c:pt idx="19">
                  <c:v>-4378577.3461458161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EBE-4F68-980F-C3C88E1A1DFB}"/>
            </c:ext>
          </c:extLst>
        </c:ser>
        <c:ser>
          <c:idx val="18"/>
          <c:order val="18"/>
          <c:tx>
            <c:strRef>
              <c:f>'Sensitivity Table'!$T$15</c:f>
              <c:strCache>
                <c:ptCount val="1"/>
                <c:pt idx="0">
                  <c:v>83.5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'Sensitivity Table'!$T$16:$T$35</c:f>
              <c:numCache>
                <c:formatCode>_("$"* #,##0.00_);_("$"* \(#,##0.00\);_("$"* "-"??_);_(@_)</c:formatCode>
                <c:ptCount val="20"/>
                <c:pt idx="0">
                  <c:v>-4685595.5228072908</c:v>
                </c:pt>
                <c:pt idx="1">
                  <c:v>-4704524.3906145822</c:v>
                </c:pt>
                <c:pt idx="2">
                  <c:v>-4723453.2584218727</c:v>
                </c:pt>
                <c:pt idx="3">
                  <c:v>-4742382.1262291633</c:v>
                </c:pt>
                <c:pt idx="4">
                  <c:v>-4761310.9940364547</c:v>
                </c:pt>
                <c:pt idx="5">
                  <c:v>-4780239.8618437452</c:v>
                </c:pt>
                <c:pt idx="6">
                  <c:v>-4799168.7296510357</c:v>
                </c:pt>
                <c:pt idx="7">
                  <c:v>-4818097.5974583272</c:v>
                </c:pt>
                <c:pt idx="8">
                  <c:v>-4837026.4652656177</c:v>
                </c:pt>
                <c:pt idx="9">
                  <c:v>-4855955.3330729082</c:v>
                </c:pt>
                <c:pt idx="10">
                  <c:v>-4874884.2008801997</c:v>
                </c:pt>
                <c:pt idx="11">
                  <c:v>-4893813.0686874902</c:v>
                </c:pt>
                <c:pt idx="12">
                  <c:v>-4912741.9364947807</c:v>
                </c:pt>
                <c:pt idx="13">
                  <c:v>-4931670.8043020722</c:v>
                </c:pt>
                <c:pt idx="14">
                  <c:v>-4950599.6721093627</c:v>
                </c:pt>
                <c:pt idx="15">
                  <c:v>-4969528.5399166541</c:v>
                </c:pt>
                <c:pt idx="16">
                  <c:v>-4988457.4077239446</c:v>
                </c:pt>
                <c:pt idx="17">
                  <c:v>-5007386.2755312352</c:v>
                </c:pt>
                <c:pt idx="18">
                  <c:v>-5026315.1433385257</c:v>
                </c:pt>
                <c:pt idx="19">
                  <c:v>-5045244.0111458162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EBE-4F68-980F-C3C88E1A1DFB}"/>
            </c:ext>
          </c:extLst>
        </c:ser>
        <c:ser>
          <c:idx val="19"/>
          <c:order val="19"/>
          <c:tx>
            <c:strRef>
              <c:f>'Sensitivity Table'!$U$15</c:f>
              <c:strCache>
                <c:ptCount val="1"/>
                <c:pt idx="0">
                  <c:v>84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'Sensitivity Table'!$U$16:$U$35</c:f>
              <c:numCache>
                <c:formatCode>_("$"* #,##0.00_);_("$"* \(#,##0.00\);_("$"* "-"??_);_(@_)</c:formatCode>
                <c:ptCount val="20"/>
                <c:pt idx="0">
                  <c:v>-5352262.1878072908</c:v>
                </c:pt>
                <c:pt idx="1">
                  <c:v>-5371191.0556145823</c:v>
                </c:pt>
                <c:pt idx="2">
                  <c:v>-5390119.9234218728</c:v>
                </c:pt>
                <c:pt idx="3">
                  <c:v>-5409048.7912291633</c:v>
                </c:pt>
                <c:pt idx="4">
                  <c:v>-5427977.6590364547</c:v>
                </c:pt>
                <c:pt idx="5">
                  <c:v>-5446906.5268437453</c:v>
                </c:pt>
                <c:pt idx="6">
                  <c:v>-5465835.3946510367</c:v>
                </c:pt>
                <c:pt idx="7">
                  <c:v>-5484764.2624583263</c:v>
                </c:pt>
                <c:pt idx="8">
                  <c:v>-5503693.1302656177</c:v>
                </c:pt>
                <c:pt idx="9">
                  <c:v>-5522621.9980729092</c:v>
                </c:pt>
                <c:pt idx="10">
                  <c:v>-5541550.8658801997</c:v>
                </c:pt>
                <c:pt idx="11">
                  <c:v>-5560479.7336874902</c:v>
                </c:pt>
                <c:pt idx="12">
                  <c:v>-5579408.6014947807</c:v>
                </c:pt>
                <c:pt idx="13">
                  <c:v>-5598337.4693020713</c:v>
                </c:pt>
                <c:pt idx="14">
                  <c:v>-5617266.3371093627</c:v>
                </c:pt>
                <c:pt idx="15">
                  <c:v>-5636195.2049166542</c:v>
                </c:pt>
                <c:pt idx="16">
                  <c:v>-5655124.0727239447</c:v>
                </c:pt>
                <c:pt idx="17">
                  <c:v>-5674052.9405312352</c:v>
                </c:pt>
                <c:pt idx="18">
                  <c:v>-5692981.8083385257</c:v>
                </c:pt>
                <c:pt idx="19">
                  <c:v>-5711910.6761458162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EBE-4F68-980F-C3C88E1A1DFB}"/>
            </c:ext>
          </c:extLst>
        </c:ser>
        <c:ser>
          <c:idx val="20"/>
          <c:order val="20"/>
          <c:tx>
            <c:strRef>
              <c:f>'Sensitivity Table'!$V$15</c:f>
              <c:strCache>
                <c:ptCount val="1"/>
                <c:pt idx="0">
                  <c:v>84.5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'Sensitivity Table'!$V$16:$V$35</c:f>
              <c:numCache>
                <c:formatCode>_("$"* #,##0.00_);_("$"* \(#,##0.00\);_("$"* "-"??_);_(@_)</c:formatCode>
                <c:ptCount val="20"/>
                <c:pt idx="0">
                  <c:v>-6018928.8528072909</c:v>
                </c:pt>
                <c:pt idx="1">
                  <c:v>-6037857.7206145823</c:v>
                </c:pt>
                <c:pt idx="2">
                  <c:v>-6056786.5884218728</c:v>
                </c:pt>
                <c:pt idx="3">
                  <c:v>-6075715.4562291633</c:v>
                </c:pt>
                <c:pt idx="4">
                  <c:v>-6094644.3240364548</c:v>
                </c:pt>
                <c:pt idx="5">
                  <c:v>-6113573.1918437453</c:v>
                </c:pt>
                <c:pt idx="6">
                  <c:v>-6132502.0596510358</c:v>
                </c:pt>
                <c:pt idx="7">
                  <c:v>-6151430.9274583273</c:v>
                </c:pt>
                <c:pt idx="8">
                  <c:v>-6170359.7952656178</c:v>
                </c:pt>
                <c:pt idx="9">
                  <c:v>-6189288.6630729083</c:v>
                </c:pt>
                <c:pt idx="10">
                  <c:v>-6208217.5308801997</c:v>
                </c:pt>
                <c:pt idx="11">
                  <c:v>-6227146.3986874903</c:v>
                </c:pt>
                <c:pt idx="12">
                  <c:v>-6246075.2664947808</c:v>
                </c:pt>
                <c:pt idx="13">
                  <c:v>-6265004.1343020722</c:v>
                </c:pt>
                <c:pt idx="14">
                  <c:v>-6283933.0021093627</c:v>
                </c:pt>
                <c:pt idx="15">
                  <c:v>-6302861.8699166542</c:v>
                </c:pt>
                <c:pt idx="16">
                  <c:v>-6321790.7377239447</c:v>
                </c:pt>
                <c:pt idx="17">
                  <c:v>-6340719.6055312352</c:v>
                </c:pt>
                <c:pt idx="18">
                  <c:v>-6359648.4733385257</c:v>
                </c:pt>
                <c:pt idx="19">
                  <c:v>-6378577.3411458163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EBE-4F68-980F-C3C88E1A1DFB}"/>
            </c:ext>
          </c:extLst>
        </c:ser>
        <c:ser>
          <c:idx val="21"/>
          <c:order val="21"/>
          <c:tx>
            <c:strRef>
              <c:f>'Sensitivity Table'!$W$15</c:f>
              <c:strCache>
                <c:ptCount val="1"/>
                <c:pt idx="0">
                  <c:v>85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numRef>
              <c:f>'Sensitivity Table'!$B$16:$B$35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'Sensitivity Table'!$W$16:$W$35</c:f>
              <c:numCache>
                <c:formatCode>_("$"* #,##0.00_);_("$"* \(#,##0.00\);_("$"* "-"??_);_(@_)</c:formatCode>
                <c:ptCount val="20"/>
                <c:pt idx="0">
                  <c:v>-6685595.5178072909</c:v>
                </c:pt>
                <c:pt idx="1">
                  <c:v>-6704524.3856145823</c:v>
                </c:pt>
                <c:pt idx="2">
                  <c:v>-6723453.2534218729</c:v>
                </c:pt>
                <c:pt idx="3">
                  <c:v>-6742382.1212291634</c:v>
                </c:pt>
                <c:pt idx="4">
                  <c:v>-6761310.9890364548</c:v>
                </c:pt>
                <c:pt idx="5">
                  <c:v>-6780239.8568437453</c:v>
                </c:pt>
                <c:pt idx="6">
                  <c:v>-6799168.7246510368</c:v>
                </c:pt>
                <c:pt idx="7">
                  <c:v>-6818097.5924583264</c:v>
                </c:pt>
                <c:pt idx="8">
                  <c:v>-6837026.4602656178</c:v>
                </c:pt>
                <c:pt idx="9">
                  <c:v>-6855955.3280729093</c:v>
                </c:pt>
                <c:pt idx="10">
                  <c:v>-6874884.1958801998</c:v>
                </c:pt>
                <c:pt idx="11">
                  <c:v>-6893813.0636874903</c:v>
                </c:pt>
                <c:pt idx="12">
                  <c:v>-6912741.9314947808</c:v>
                </c:pt>
                <c:pt idx="13">
                  <c:v>-6931670.7993020713</c:v>
                </c:pt>
                <c:pt idx="14">
                  <c:v>-6950599.6671093628</c:v>
                </c:pt>
                <c:pt idx="15">
                  <c:v>-6969528.5349166542</c:v>
                </c:pt>
                <c:pt idx="16">
                  <c:v>-6988457.4027239447</c:v>
                </c:pt>
                <c:pt idx="17">
                  <c:v>-7007386.2705312353</c:v>
                </c:pt>
                <c:pt idx="18">
                  <c:v>-7026315.1383385258</c:v>
                </c:pt>
                <c:pt idx="19">
                  <c:v>-7045244.0061458163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EBE-4F68-980F-C3C88E1A1DFB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</c:bandFmts>
        <c:axId val="2139357280"/>
        <c:axId val="2139357760"/>
        <c:axId val="616598992"/>
      </c:surface3DChart>
      <c:catAx>
        <c:axId val="2139357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357760"/>
        <c:crosses val="autoZero"/>
        <c:auto val="1"/>
        <c:lblAlgn val="ctr"/>
        <c:lblOffset val="100"/>
        <c:noMultiLvlLbl val="0"/>
      </c:catAx>
      <c:valAx>
        <c:axId val="213935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357280"/>
        <c:crosses val="autoZero"/>
        <c:crossBetween val="midCat"/>
      </c:valAx>
      <c:serAx>
        <c:axId val="61659899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357760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637642</xdr:colOff>
      <xdr:row>36</xdr:row>
      <xdr:rowOff>66146</xdr:rowOff>
    </xdr:from>
    <xdr:to>
      <xdr:col>14</xdr:col>
      <xdr:colOff>330729</xdr:colOff>
      <xdr:row>56</xdr:row>
      <xdr:rowOff>35452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2C82F9-DF77-341C-7577-70E0EF987B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722147</xdr:colOff>
      <xdr:row>36</xdr:row>
      <xdr:rowOff>168921</xdr:rowOff>
    </xdr:from>
    <xdr:to>
      <xdr:col>20</xdr:col>
      <xdr:colOff>369335</xdr:colOff>
      <xdr:row>56</xdr:row>
      <xdr:rowOff>9718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72390FD-01FE-636C-8AE1-A1A5C985FF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492F67-63EF-4D87-AD43-8921A893B589}" name="Table1" displayName="Table1" ref="B15:W35" totalsRowShown="0">
  <autoFilter ref="B15:W35" xr:uid="{62492F67-63EF-4D87-AD43-8921A893B589}"/>
  <tableColumns count="22">
    <tableColumn id="1" xr3:uid="{711C8B11-D915-4B55-9C34-3992F5CF3CB9}" name="H/Fnext"/>
    <tableColumn id="2" xr3:uid="{2DFB90FA-DD0F-4E4B-90A9-472DBCC09514}" name="75" dataDxfId="22">
      <calculatedColumnFormula>('StacknRoll Strategy Analysis'!$B$2-'Sensitivity Table'!$C$15)*'Hedge Ratio Analysis'!G16-'Hedge Ratio Analysis'!$E16</calculatedColumnFormula>
    </tableColumn>
    <tableColumn id="3" xr3:uid="{0AF2EB55-8EDC-4E4C-ABE2-A375290E2DC5}" name="75.5" dataDxfId="21">
      <calculatedColumnFormula>('StacknRoll Strategy Analysis'!$B$2-'Sensitivity Table'!$D$15)*'Hedge Ratio Analysis'!G16-'Hedge Ratio Analysis'!E16</calculatedColumnFormula>
    </tableColumn>
    <tableColumn id="4" xr3:uid="{9192B212-A96F-4A08-8ADC-96CEF4EC4AF9}" name="76" dataDxfId="20">
      <calculatedColumnFormula>('StacknRoll Strategy Analysis'!$B$2-'Sensitivity Table'!$E$15)*'Hedge Ratio Analysis'!G16-'Hedge Ratio Analysis'!E16</calculatedColumnFormula>
    </tableColumn>
    <tableColumn id="5" xr3:uid="{3B281E9C-011E-48F2-9DC2-1F693949A4C5}" name="76.5" dataDxfId="19">
      <calculatedColumnFormula>('StacknRoll Strategy Analysis'!$B$2-$F$15)*'Hedge Ratio Analysis'!G16-'Hedge Ratio Analysis'!E16</calculatedColumnFormula>
    </tableColumn>
    <tableColumn id="6" xr3:uid="{7E8C8E4E-353E-4847-9F81-C6A3D7608B7A}" name="77" dataDxfId="18">
      <calculatedColumnFormula>('StacknRoll Strategy Analysis'!$B$2-$G$15)*'Hedge Ratio Analysis'!G16-'Hedge Ratio Analysis'!E16</calculatedColumnFormula>
    </tableColumn>
    <tableColumn id="7" xr3:uid="{3A8FFDBA-94B6-486D-B0A7-E56F61289380}" name="77.5" dataDxfId="17">
      <calculatedColumnFormula>('StacknRoll Strategy Analysis'!$B$2-$H$15)*'Hedge Ratio Analysis'!G16-'Hedge Ratio Analysis'!E16</calculatedColumnFormula>
    </tableColumn>
    <tableColumn id="8" xr3:uid="{5DD45328-D508-47A3-B57A-3FFFC0B3ABA5}" name="78" dataDxfId="16">
      <calculatedColumnFormula>('StacknRoll Strategy Analysis'!$B$2-$I$15)*'Hedge Ratio Analysis'!G16-'Hedge Ratio Analysis'!E16</calculatedColumnFormula>
    </tableColumn>
    <tableColumn id="9" xr3:uid="{D12265A5-C71B-4EB8-A978-6EF4C3AEFD50}" name="78.5" dataDxfId="15">
      <calculatedColumnFormula>('StacknRoll Strategy Analysis'!$B$2-$J$15)*'Hedge Ratio Analysis'!G16-'Hedge Ratio Analysis'!E15</calculatedColumnFormula>
    </tableColumn>
    <tableColumn id="10" xr3:uid="{2811BBA5-8EA3-4484-8812-A65307940626}" name="79" dataDxfId="14">
      <calculatedColumnFormula>('StacknRoll Strategy Analysis'!$B$2-$K$15)*'Hedge Ratio Analysis'!G16-'Hedge Ratio Analysis'!E16</calculatedColumnFormula>
    </tableColumn>
    <tableColumn id="11" xr3:uid="{5D23B08C-A6F9-4DCA-A4F0-B199B204FB98}" name="79.5" dataDxfId="13">
      <calculatedColumnFormula>('StacknRoll Strategy Analysis'!$B$2-$L$15)*'Hedge Ratio Analysis'!G16-'Hedge Ratio Analysis'!E16</calculatedColumnFormula>
    </tableColumn>
    <tableColumn id="12" xr3:uid="{3653F1EF-9B4C-4524-8D92-8A57319C0B3A}" name="80" dataDxfId="12">
      <calculatedColumnFormula>('StacknRoll Strategy Analysis'!$B$2-$M$15)*'Hedge Ratio Analysis'!G16-'Hedge Ratio Analysis'!E16</calculatedColumnFormula>
    </tableColumn>
    <tableColumn id="13" xr3:uid="{210568FB-2CC1-43EF-8A6A-30D9229780E6}" name="80.5" dataDxfId="11">
      <calculatedColumnFormula>('StacknRoll Strategy Analysis'!$B$2-$N$15)*'Hedge Ratio Analysis'!G16-'Hedge Ratio Analysis'!E16</calculatedColumnFormula>
    </tableColumn>
    <tableColumn id="14" xr3:uid="{2344DFC2-07FB-4DAD-BB7E-7460069DCAA6}" name="81" dataDxfId="10">
      <calculatedColumnFormula>('StacknRoll Strategy Analysis'!$B$2-$O$15)*'Hedge Ratio Analysis'!G16-'Hedge Ratio Analysis'!E16</calculatedColumnFormula>
    </tableColumn>
    <tableColumn id="15" xr3:uid="{B75822BB-F957-4C5D-A4A4-F69D13979CB9}" name="81.5" dataDxfId="9">
      <calculatedColumnFormula>('StacknRoll Strategy Analysis'!$B$2-$P$15)*'Hedge Ratio Analysis'!G16-'Hedge Ratio Analysis'!E16</calculatedColumnFormula>
    </tableColumn>
    <tableColumn id="16" xr3:uid="{2FABBC3C-C417-4A57-A525-DF7BA394D20D}" name="82" dataDxfId="8">
      <calculatedColumnFormula>('StacknRoll Strategy Analysis'!$B$2-$Q$15)*'Hedge Ratio Analysis'!G16-'Hedge Ratio Analysis'!E16</calculatedColumnFormula>
    </tableColumn>
    <tableColumn id="17" xr3:uid="{C407B2D3-AF58-48BA-B548-0E41437116DE}" name="82.5" dataDxfId="7">
      <calculatedColumnFormula>('StacknRoll Strategy Analysis'!$B$2-$R$15)*'Hedge Ratio Analysis'!G16-'Hedge Ratio Analysis'!$E16</calculatedColumnFormula>
    </tableColumn>
    <tableColumn id="18" xr3:uid="{C4B012EE-C3E8-435E-B79E-EC9E6D759801}" name="83" dataDxfId="6">
      <calculatedColumnFormula>('StacknRoll Strategy Analysis'!$B$2-$S$15)*'Hedge Ratio Analysis'!G16-'Hedge Ratio Analysis'!E16</calculatedColumnFormula>
    </tableColumn>
    <tableColumn id="19" xr3:uid="{F375BAD1-992F-4B1B-A971-CE2F165FF5F0}" name="83.5" dataDxfId="5">
      <calculatedColumnFormula>('StacknRoll Strategy Analysis'!$B$2-$T$15)*'Hedge Ratio Analysis'!G16-'Hedge Ratio Analysis'!E16</calculatedColumnFormula>
    </tableColumn>
    <tableColumn id="20" xr3:uid="{DBADECE0-42EE-4E77-9C3C-4442EA596E29}" name="84" dataDxfId="4">
      <calculatedColumnFormula>('StacknRoll Strategy Analysis'!$B$2-$U$15)*'Hedge Ratio Analysis'!G16-'Hedge Ratio Analysis'!E16</calculatedColumnFormula>
    </tableColumn>
    <tableColumn id="21" xr3:uid="{770DDF39-6AAE-498E-8B2C-F6359D714262}" name="84.5" dataDxfId="3">
      <calculatedColumnFormula>('StacknRoll Strategy Analysis'!$B$2-$V$15)*'Hedge Ratio Analysis'!G16-'Hedge Ratio Analysis'!E16</calculatedColumnFormula>
    </tableColumn>
    <tableColumn id="22" xr3:uid="{C6066815-F8D6-4A76-AD5D-136034EACF25}" name="85" dataDxfId="2">
      <calculatedColumnFormula>('StacknRoll Strategy Analysis'!$B$2-$W$15)*'Hedge Ratio Analysis'!G16-'Hedge Ratio Analysis'!E16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07C6A-B894-4FD8-8664-FE1B90AB12A2}">
  <dimension ref="A1:I50"/>
  <sheetViews>
    <sheetView zoomScale="49" workbookViewId="0">
      <selection activeCell="L40" sqref="L40"/>
    </sheetView>
  </sheetViews>
  <sheetFormatPr defaultRowHeight="14.25" x14ac:dyDescent="0.45"/>
  <cols>
    <col min="1" max="1" width="13.46484375" customWidth="1"/>
    <col min="2" max="2" width="12" customWidth="1"/>
    <col min="3" max="3" width="14.33203125" customWidth="1"/>
    <col min="4" max="4" width="12.73046875" customWidth="1"/>
    <col min="5" max="5" width="13.3984375" customWidth="1"/>
    <col min="6" max="6" width="13.1328125" customWidth="1"/>
    <col min="7" max="7" width="15.53125" customWidth="1"/>
    <col min="8" max="8" width="22" customWidth="1"/>
    <col min="9" max="9" width="17" customWidth="1"/>
  </cols>
  <sheetData>
    <row r="1" spans="1:9" x14ac:dyDescent="0.45">
      <c r="A1" s="1"/>
      <c r="B1" s="1"/>
    </row>
    <row r="2" spans="1:9" ht="16.149999999999999" customHeight="1" x14ac:dyDescent="0.45">
      <c r="A2" s="2" t="s">
        <v>0</v>
      </c>
      <c r="B2" s="3">
        <v>160000000</v>
      </c>
    </row>
    <row r="3" spans="1:9" ht="15.4" customHeight="1" x14ac:dyDescent="0.45">
      <c r="A3" s="2" t="s">
        <v>14</v>
      </c>
      <c r="B3" s="2">
        <v>1</v>
      </c>
    </row>
    <row r="4" spans="1:9" x14ac:dyDescent="0.45">
      <c r="A4" t="s">
        <v>16</v>
      </c>
      <c r="B4">
        <f>B2*B3</f>
        <v>160000000</v>
      </c>
    </row>
    <row r="5" spans="1:9" ht="14.65" customHeight="1" x14ac:dyDescent="0.45">
      <c r="A5" t="s">
        <v>18</v>
      </c>
      <c r="B5">
        <f>10*252</f>
        <v>2520</v>
      </c>
    </row>
    <row r="6" spans="1:9" x14ac:dyDescent="0.45">
      <c r="A6" t="s">
        <v>17</v>
      </c>
      <c r="B6">
        <f>B4/B5</f>
        <v>63492.063492063491</v>
      </c>
    </row>
    <row r="7" spans="1:9" x14ac:dyDescent="0.45">
      <c r="A7" t="s">
        <v>11</v>
      </c>
      <c r="B7">
        <v>0</v>
      </c>
    </row>
    <row r="8" spans="1:9" x14ac:dyDescent="0.45">
      <c r="A8" t="s">
        <v>112</v>
      </c>
      <c r="B8">
        <v>0.1</v>
      </c>
    </row>
    <row r="9" spans="1:9" x14ac:dyDescent="0.45">
      <c r="A9" t="s">
        <v>13</v>
      </c>
      <c r="B9">
        <v>0.1</v>
      </c>
      <c r="D9" t="s">
        <v>4</v>
      </c>
      <c r="E9" t="s">
        <v>6</v>
      </c>
      <c r="F9" t="s">
        <v>7</v>
      </c>
      <c r="G9" t="s">
        <v>8</v>
      </c>
      <c r="H9" t="s">
        <v>10</v>
      </c>
      <c r="I9" t="s">
        <v>3</v>
      </c>
    </row>
    <row r="10" spans="1:9" x14ac:dyDescent="0.45">
      <c r="A10" t="s">
        <v>9</v>
      </c>
      <c r="B10" s="7">
        <f>SUM(G10:G50)</f>
        <v>1</v>
      </c>
      <c r="D10">
        <v>-2</v>
      </c>
      <c r="E10">
        <f t="shared" ref="E10:E50" si="0">D10 - $B$9/2</f>
        <v>-2.0499999999999998</v>
      </c>
      <c r="F10">
        <f t="shared" ref="F10:F50" si="1">D10 + $B$9/2</f>
        <v>-1.95</v>
      </c>
      <c r="G10" s="5">
        <f t="shared" ref="G10:G50" si="2">_xlfn.NORM.DIST(F10,$B$7,$B$8,TRUE)- _xlfn.NORM.DIST(E10,$B$7,$B$8,TRUE)</f>
        <v>5.4891154648955837E-85</v>
      </c>
      <c r="H10" s="6">
        <f t="shared" ref="H10:H50" si="3">G10*D10*$B$6</f>
        <v>-6.9703053522483604E-80</v>
      </c>
      <c r="I10" s="6">
        <f t="shared" ref="I10:I50" si="4">$B$6*D10</f>
        <v>-126984.12698412698</v>
      </c>
    </row>
    <row r="11" spans="1:9" x14ac:dyDescent="0.45">
      <c r="D11">
        <v>-1.9</v>
      </c>
      <c r="E11">
        <f t="shared" si="0"/>
        <v>-1.95</v>
      </c>
      <c r="F11">
        <f t="shared" si="1"/>
        <v>-1.8499999999999999</v>
      </c>
      <c r="G11" s="5">
        <f t="shared" si="2"/>
        <v>1.0323698634672431E-76</v>
      </c>
      <c r="H11" s="6">
        <f t="shared" si="3"/>
        <v>-1.2453985654525471E-71</v>
      </c>
      <c r="I11" s="6">
        <f t="shared" si="4"/>
        <v>-120634.92063492062</v>
      </c>
    </row>
    <row r="12" spans="1:9" x14ac:dyDescent="0.45">
      <c r="D12">
        <v>-1.8</v>
      </c>
      <c r="E12">
        <f t="shared" si="0"/>
        <v>-1.85</v>
      </c>
      <c r="F12">
        <f t="shared" si="1"/>
        <v>-1.75</v>
      </c>
      <c r="G12" s="5">
        <f t="shared" si="2"/>
        <v>7.1634586629980489E-69</v>
      </c>
      <c r="H12" s="6">
        <f t="shared" si="3"/>
        <v>-8.1868099005691983E-64</v>
      </c>
      <c r="I12" s="6">
        <f t="shared" si="4"/>
        <v>-114285.71428571429</v>
      </c>
    </row>
    <row r="13" spans="1:9" x14ac:dyDescent="0.45">
      <c r="D13">
        <v>-1.7</v>
      </c>
      <c r="E13">
        <f t="shared" si="0"/>
        <v>-1.75</v>
      </c>
      <c r="F13">
        <f t="shared" si="1"/>
        <v>-1.65</v>
      </c>
      <c r="G13" s="5">
        <f t="shared" si="2"/>
        <v>1.8344629315301963E-61</v>
      </c>
      <c r="H13" s="6">
        <f t="shared" si="3"/>
        <v>-1.9800552276833867E-56</v>
      </c>
      <c r="I13" s="6">
        <f t="shared" si="4"/>
        <v>-107936.50793650793</v>
      </c>
    </row>
    <row r="14" spans="1:9" x14ac:dyDescent="0.45">
      <c r="D14">
        <v>-1.6</v>
      </c>
      <c r="E14">
        <f t="shared" si="0"/>
        <v>-1.6500000000000001</v>
      </c>
      <c r="F14">
        <f t="shared" si="1"/>
        <v>-1.55</v>
      </c>
      <c r="G14" s="5">
        <f t="shared" si="2"/>
        <v>1.7344606083475201E-54</v>
      </c>
      <c r="H14" s="6">
        <f t="shared" si="3"/>
        <v>-1.7619917291149415E-49</v>
      </c>
      <c r="I14" s="6">
        <f t="shared" si="4"/>
        <v>-101587.3015873016</v>
      </c>
    </row>
    <row r="15" spans="1:9" x14ac:dyDescent="0.45">
      <c r="D15">
        <v>-1.5</v>
      </c>
      <c r="E15">
        <f t="shared" si="0"/>
        <v>-1.55</v>
      </c>
      <c r="F15">
        <f t="shared" si="1"/>
        <v>-1.45</v>
      </c>
      <c r="G15" s="5">
        <f t="shared" si="2"/>
        <v>6.0574930299545166E-48</v>
      </c>
      <c r="H15" s="6">
        <f t="shared" si="3"/>
        <v>-5.7690409809090633E-43</v>
      </c>
      <c r="I15" s="6">
        <f t="shared" si="4"/>
        <v>-95238.095238095237</v>
      </c>
    </row>
    <row r="16" spans="1:9" x14ac:dyDescent="0.45">
      <c r="D16">
        <v>-1.4</v>
      </c>
      <c r="E16">
        <f t="shared" si="0"/>
        <v>-1.45</v>
      </c>
      <c r="F16">
        <f t="shared" si="1"/>
        <v>-1.3499999999999999</v>
      </c>
      <c r="G16" s="5">
        <f t="shared" si="2"/>
        <v>7.8188012481632407E-42</v>
      </c>
      <c r="H16" s="6">
        <f t="shared" si="3"/>
        <v>-6.9500455539228801E-37</v>
      </c>
      <c r="I16" s="6">
        <f t="shared" si="4"/>
        <v>-88888.888888888876</v>
      </c>
    </row>
    <row r="17" spans="4:9" x14ac:dyDescent="0.45">
      <c r="D17">
        <v>-1.3</v>
      </c>
      <c r="E17">
        <f t="shared" si="0"/>
        <v>-1.35</v>
      </c>
      <c r="F17">
        <f t="shared" si="1"/>
        <v>-1.25</v>
      </c>
      <c r="G17" s="5">
        <f t="shared" si="2"/>
        <v>3.7325564800704091E-36</v>
      </c>
      <c r="H17" s="6">
        <f t="shared" si="3"/>
        <v>-3.0808402692644649E-31</v>
      </c>
      <c r="I17" s="6">
        <f t="shared" si="4"/>
        <v>-82539.682539682544</v>
      </c>
    </row>
    <row r="18" spans="4:9" x14ac:dyDescent="0.45">
      <c r="D18">
        <v>-1.2</v>
      </c>
      <c r="E18">
        <f t="shared" si="0"/>
        <v>-1.25</v>
      </c>
      <c r="F18">
        <f t="shared" si="1"/>
        <v>-1.1499999999999999</v>
      </c>
      <c r="G18" s="5">
        <f t="shared" si="2"/>
        <v>6.5957341204706858E-31</v>
      </c>
      <c r="H18" s="6">
        <f t="shared" si="3"/>
        <v>-5.0253212346443323E-26</v>
      </c>
      <c r="I18" s="6">
        <f t="shared" si="4"/>
        <v>-76190.476190476184</v>
      </c>
    </row>
    <row r="19" spans="4:9" x14ac:dyDescent="0.45">
      <c r="D19">
        <v>-1.1000000000000001</v>
      </c>
      <c r="E19">
        <f t="shared" si="0"/>
        <v>-1.1500000000000001</v>
      </c>
      <c r="F19">
        <f t="shared" si="1"/>
        <v>-1.05</v>
      </c>
      <c r="G19" s="5">
        <f t="shared" si="2"/>
        <v>4.3189403600947394E-26</v>
      </c>
      <c r="H19" s="6">
        <f t="shared" si="3"/>
        <v>-3.0164027911772785E-21</v>
      </c>
      <c r="I19" s="6">
        <f t="shared" si="4"/>
        <v>-69841.269841269852</v>
      </c>
    </row>
    <row r="20" spans="4:9" x14ac:dyDescent="0.45">
      <c r="D20">
        <v>-1</v>
      </c>
      <c r="E20">
        <f t="shared" si="0"/>
        <v>-1.05</v>
      </c>
      <c r="F20">
        <f t="shared" si="1"/>
        <v>-0.95</v>
      </c>
      <c r="G20" s="5">
        <f t="shared" si="2"/>
        <v>1.0494083174730982E-21</v>
      </c>
      <c r="H20" s="6">
        <f t="shared" si="3"/>
        <v>-6.6629099522101469E-17</v>
      </c>
      <c r="I20" s="6">
        <f t="shared" si="4"/>
        <v>-63492.063492063491</v>
      </c>
    </row>
    <row r="21" spans="4:9" x14ac:dyDescent="0.45">
      <c r="D21">
        <v>-0.9</v>
      </c>
      <c r="E21">
        <f t="shared" si="0"/>
        <v>-0.95000000000000007</v>
      </c>
      <c r="F21">
        <f t="shared" si="1"/>
        <v>-0.85</v>
      </c>
      <c r="G21" s="5">
        <f t="shared" si="2"/>
        <v>9.47848537069571E-18</v>
      </c>
      <c r="H21" s="6">
        <f t="shared" si="3"/>
        <v>-5.4162773546832627E-13</v>
      </c>
      <c r="I21" s="6">
        <f t="shared" si="4"/>
        <v>-57142.857142857145</v>
      </c>
    </row>
    <row r="22" spans="4:9" x14ac:dyDescent="0.45">
      <c r="D22">
        <v>-0.8</v>
      </c>
      <c r="E22">
        <f t="shared" si="0"/>
        <v>-0.85000000000000009</v>
      </c>
      <c r="F22">
        <f t="shared" si="1"/>
        <v>-0.75</v>
      </c>
      <c r="G22" s="5">
        <f t="shared" si="2"/>
        <v>3.1899437194286648E-14</v>
      </c>
      <c r="H22" s="6">
        <f t="shared" si="3"/>
        <v>-1.6202888733605918E-9</v>
      </c>
      <c r="I22" s="6">
        <f t="shared" si="4"/>
        <v>-50793.650793650799</v>
      </c>
    </row>
    <row r="23" spans="4:9" x14ac:dyDescent="0.45">
      <c r="D23">
        <v>-0.7</v>
      </c>
      <c r="E23">
        <f t="shared" si="0"/>
        <v>-0.75</v>
      </c>
      <c r="F23">
        <f t="shared" si="1"/>
        <v>-0.64999999999999991</v>
      </c>
      <c r="G23" s="5">
        <f t="shared" si="2"/>
        <v>4.0128096921862071E-11</v>
      </c>
      <c r="H23" s="6">
        <f t="shared" si="3"/>
        <v>-1.7834709743049807E-6</v>
      </c>
      <c r="I23" s="6">
        <f t="shared" si="4"/>
        <v>-44444.444444444438</v>
      </c>
    </row>
    <row r="24" spans="4:9" x14ac:dyDescent="0.45">
      <c r="D24">
        <v>-0.6</v>
      </c>
      <c r="E24">
        <f t="shared" si="0"/>
        <v>-0.65</v>
      </c>
      <c r="F24">
        <f t="shared" si="1"/>
        <v>-0.54999999999999993</v>
      </c>
      <c r="G24" s="5">
        <f t="shared" si="2"/>
        <v>1.8949402460049199E-8</v>
      </c>
      <c r="H24" s="6">
        <f t="shared" si="3"/>
        <v>-7.2188199847806462E-4</v>
      </c>
      <c r="I24" s="6">
        <f t="shared" si="4"/>
        <v>-38095.238095238092</v>
      </c>
    </row>
    <row r="25" spans="4:9" x14ac:dyDescent="0.45">
      <c r="D25">
        <v>-0.5</v>
      </c>
      <c r="E25">
        <f t="shared" si="0"/>
        <v>-0.55000000000000004</v>
      </c>
      <c r="F25">
        <f t="shared" si="1"/>
        <v>-0.45</v>
      </c>
      <c r="G25" s="5">
        <f t="shared" si="2"/>
        <v>3.3786835622641657E-6</v>
      </c>
      <c r="H25" s="6">
        <f t="shared" si="3"/>
        <v>-0.10725979562743383</v>
      </c>
      <c r="I25" s="6">
        <f t="shared" si="4"/>
        <v>-31746.031746031746</v>
      </c>
    </row>
    <row r="26" spans="4:9" x14ac:dyDescent="0.45">
      <c r="D26">
        <v>-0.4</v>
      </c>
      <c r="E26">
        <f t="shared" si="0"/>
        <v>-0.45</v>
      </c>
      <c r="F26">
        <f t="shared" si="1"/>
        <v>-0.35000000000000003</v>
      </c>
      <c r="G26" s="5">
        <f t="shared" si="2"/>
        <v>2.2923140591079498E-4</v>
      </c>
      <c r="H26" s="6">
        <f t="shared" si="3"/>
        <v>-5.8217499913852695</v>
      </c>
      <c r="I26" s="6">
        <f t="shared" si="4"/>
        <v>-25396.825396825399</v>
      </c>
    </row>
    <row r="27" spans="4:9" x14ac:dyDescent="0.45">
      <c r="D27">
        <v>-0.3</v>
      </c>
      <c r="E27">
        <f t="shared" si="0"/>
        <v>-0.35</v>
      </c>
      <c r="F27">
        <f t="shared" si="1"/>
        <v>-0.25</v>
      </c>
      <c r="G27" s="5">
        <f t="shared" si="2"/>
        <v>5.9770362467406078E-3</v>
      </c>
      <c r="H27" s="6">
        <f t="shared" si="3"/>
        <v>-113.84830946172585</v>
      </c>
      <c r="I27" s="6">
        <f t="shared" si="4"/>
        <v>-19047.619047619046</v>
      </c>
    </row>
    <row r="28" spans="4:9" x14ac:dyDescent="0.45">
      <c r="D28">
        <v>-0.2</v>
      </c>
      <c r="E28">
        <f t="shared" si="0"/>
        <v>-0.25</v>
      </c>
      <c r="F28">
        <f t="shared" si="1"/>
        <v>-0.15000000000000002</v>
      </c>
      <c r="G28" s="5">
        <f t="shared" si="2"/>
        <v>6.0597535943081926E-2</v>
      </c>
      <c r="H28" s="6">
        <f t="shared" si="3"/>
        <v>-769.49251991215147</v>
      </c>
      <c r="I28" s="6">
        <f t="shared" si="4"/>
        <v>-12698.4126984127</v>
      </c>
    </row>
    <row r="29" spans="4:9" x14ac:dyDescent="0.45">
      <c r="D29">
        <v>-0.1</v>
      </c>
      <c r="E29">
        <f t="shared" si="0"/>
        <v>-0.15000000000000002</v>
      </c>
      <c r="F29">
        <f t="shared" si="1"/>
        <v>-0.05</v>
      </c>
      <c r="G29" s="5">
        <f t="shared" si="2"/>
        <v>0.24173033745712882</v>
      </c>
      <c r="H29" s="6">
        <f t="shared" si="3"/>
        <v>-1534.7957933785958</v>
      </c>
      <c r="I29" s="6">
        <f t="shared" si="4"/>
        <v>-6349.2063492063498</v>
      </c>
    </row>
    <row r="30" spans="4:9" x14ac:dyDescent="0.45">
      <c r="D30">
        <v>0</v>
      </c>
      <c r="E30">
        <f t="shared" si="0"/>
        <v>-0.05</v>
      </c>
      <c r="F30">
        <f t="shared" si="1"/>
        <v>0.05</v>
      </c>
      <c r="G30" s="5">
        <f t="shared" si="2"/>
        <v>0.38292492254802624</v>
      </c>
      <c r="H30" s="6">
        <f>G30*D30*$B$6</f>
        <v>0</v>
      </c>
      <c r="I30" s="6">
        <f t="shared" si="4"/>
        <v>0</v>
      </c>
    </row>
    <row r="31" spans="4:9" x14ac:dyDescent="0.45">
      <c r="D31">
        <v>0.1</v>
      </c>
      <c r="E31">
        <f t="shared" si="0"/>
        <v>0.05</v>
      </c>
      <c r="F31">
        <f t="shared" si="1"/>
        <v>0.15000000000000002</v>
      </c>
      <c r="G31" s="5">
        <f t="shared" si="2"/>
        <v>0.2417303374571288</v>
      </c>
      <c r="H31" s="6">
        <f t="shared" si="3"/>
        <v>1534.7957933785956</v>
      </c>
      <c r="I31" s="6">
        <f t="shared" si="4"/>
        <v>6349.2063492063498</v>
      </c>
    </row>
    <row r="32" spans="4:9" x14ac:dyDescent="0.45">
      <c r="D32">
        <v>0.2</v>
      </c>
      <c r="E32">
        <f t="shared" si="0"/>
        <v>0.15000000000000002</v>
      </c>
      <c r="F32">
        <f t="shared" si="1"/>
        <v>0.25</v>
      </c>
      <c r="G32" s="5">
        <f t="shared" si="2"/>
        <v>6.0597535943081926E-2</v>
      </c>
      <c r="H32" s="6">
        <f t="shared" si="3"/>
        <v>769.49251991215147</v>
      </c>
      <c r="I32" s="6">
        <f t="shared" si="4"/>
        <v>12698.4126984127</v>
      </c>
    </row>
    <row r="33" spans="4:9" x14ac:dyDescent="0.45">
      <c r="D33">
        <v>0.3</v>
      </c>
      <c r="E33">
        <f t="shared" si="0"/>
        <v>0.25</v>
      </c>
      <c r="F33">
        <f t="shared" si="1"/>
        <v>0.35</v>
      </c>
      <c r="G33" s="5">
        <f t="shared" si="2"/>
        <v>5.9770362467406191E-3</v>
      </c>
      <c r="H33" s="6">
        <f t="shared" si="3"/>
        <v>113.84830946172607</v>
      </c>
      <c r="I33" s="6">
        <f t="shared" si="4"/>
        <v>19047.619047619046</v>
      </c>
    </row>
    <row r="34" spans="4:9" x14ac:dyDescent="0.45">
      <c r="D34">
        <v>0.4</v>
      </c>
      <c r="E34">
        <f t="shared" si="0"/>
        <v>0.35000000000000003</v>
      </c>
      <c r="F34">
        <f t="shared" si="1"/>
        <v>0.45</v>
      </c>
      <c r="G34" s="5">
        <f t="shared" si="2"/>
        <v>2.2923140591080138E-4</v>
      </c>
      <c r="H34" s="6">
        <f t="shared" si="3"/>
        <v>5.821749991385432</v>
      </c>
      <c r="I34" s="6">
        <f t="shared" si="4"/>
        <v>25396.825396825399</v>
      </c>
    </row>
    <row r="35" spans="4:9" x14ac:dyDescent="0.45">
      <c r="D35">
        <v>0.5</v>
      </c>
      <c r="E35">
        <f t="shared" si="0"/>
        <v>0.45</v>
      </c>
      <c r="F35">
        <f t="shared" si="1"/>
        <v>0.55000000000000004</v>
      </c>
      <c r="G35" s="5">
        <f t="shared" si="2"/>
        <v>3.3786835622606759E-6</v>
      </c>
      <c r="H35" s="6">
        <f t="shared" si="3"/>
        <v>0.10725979562732305</v>
      </c>
      <c r="I35" s="6">
        <f t="shared" si="4"/>
        <v>31746.031746031746</v>
      </c>
    </row>
    <row r="36" spans="4:9" x14ac:dyDescent="0.45">
      <c r="D36">
        <v>0.6</v>
      </c>
      <c r="E36">
        <f t="shared" si="0"/>
        <v>0.54999999999999993</v>
      </c>
      <c r="F36">
        <f t="shared" si="1"/>
        <v>0.65</v>
      </c>
      <c r="G36" s="5">
        <f t="shared" si="2"/>
        <v>1.8949402491585943E-8</v>
      </c>
      <c r="H36" s="6">
        <f t="shared" si="3"/>
        <v>7.2188199967946438E-4</v>
      </c>
      <c r="I36" s="6">
        <f t="shared" si="4"/>
        <v>38095.238095238092</v>
      </c>
    </row>
    <row r="37" spans="4:9" x14ac:dyDescent="0.45">
      <c r="D37">
        <v>0.7</v>
      </c>
      <c r="E37">
        <f t="shared" si="0"/>
        <v>0.64999999999999991</v>
      </c>
      <c r="F37">
        <f t="shared" si="1"/>
        <v>0.75</v>
      </c>
      <c r="G37" s="5">
        <f t="shared" si="2"/>
        <v>4.0128123046656583E-11</v>
      </c>
      <c r="H37" s="6">
        <f>G37*D37*$B$6</f>
        <v>1.7834721354069591E-6</v>
      </c>
      <c r="I37" s="6">
        <f t="shared" si="4"/>
        <v>44444.444444444438</v>
      </c>
    </row>
    <row r="38" spans="4:9" x14ac:dyDescent="0.45">
      <c r="D38">
        <v>0.8</v>
      </c>
      <c r="E38">
        <f t="shared" si="0"/>
        <v>0.75</v>
      </c>
      <c r="F38">
        <f t="shared" si="1"/>
        <v>0.85000000000000009</v>
      </c>
      <c r="G38" s="5">
        <f t="shared" si="2"/>
        <v>3.1863400806741993E-14</v>
      </c>
      <c r="H38" s="6">
        <f t="shared" si="3"/>
        <v>1.618458453675784E-9</v>
      </c>
      <c r="I38" s="6">
        <f t="shared" si="4"/>
        <v>50793.650793650799</v>
      </c>
    </row>
    <row r="39" spans="4:9" x14ac:dyDescent="0.45">
      <c r="D39">
        <v>0.9</v>
      </c>
      <c r="E39">
        <f t="shared" si="0"/>
        <v>0.85</v>
      </c>
      <c r="F39">
        <f t="shared" si="1"/>
        <v>0.95000000000000007</v>
      </c>
      <c r="G39" s="5">
        <f t="shared" si="2"/>
        <v>0</v>
      </c>
      <c r="H39" s="6">
        <f t="shared" si="3"/>
        <v>0</v>
      </c>
      <c r="I39" s="6">
        <f t="shared" si="4"/>
        <v>57142.857142857145</v>
      </c>
    </row>
    <row r="40" spans="4:9" x14ac:dyDescent="0.45">
      <c r="D40">
        <v>1</v>
      </c>
      <c r="E40">
        <f t="shared" si="0"/>
        <v>0.95</v>
      </c>
      <c r="F40">
        <f t="shared" si="1"/>
        <v>1.05</v>
      </c>
      <c r="G40" s="5">
        <f t="shared" si="2"/>
        <v>0</v>
      </c>
      <c r="H40" s="6">
        <f t="shared" si="3"/>
        <v>0</v>
      </c>
      <c r="I40" s="6">
        <f t="shared" si="4"/>
        <v>63492.063492063491</v>
      </c>
    </row>
    <row r="41" spans="4:9" x14ac:dyDescent="0.45">
      <c r="D41">
        <v>1.1000000000000001</v>
      </c>
      <c r="E41">
        <f t="shared" si="0"/>
        <v>1.05</v>
      </c>
      <c r="F41">
        <f t="shared" si="1"/>
        <v>1.1500000000000001</v>
      </c>
      <c r="G41" s="5">
        <f t="shared" si="2"/>
        <v>0</v>
      </c>
      <c r="H41" s="6">
        <f t="shared" si="3"/>
        <v>0</v>
      </c>
      <c r="I41" s="6">
        <f t="shared" si="4"/>
        <v>69841.269841269852</v>
      </c>
    </row>
    <row r="42" spans="4:9" x14ac:dyDescent="0.45">
      <c r="D42">
        <v>1.2</v>
      </c>
      <c r="E42">
        <f t="shared" si="0"/>
        <v>1.1499999999999999</v>
      </c>
      <c r="F42">
        <f t="shared" si="1"/>
        <v>1.25</v>
      </c>
      <c r="G42" s="5">
        <f t="shared" si="2"/>
        <v>0</v>
      </c>
      <c r="H42" s="6">
        <f t="shared" si="3"/>
        <v>0</v>
      </c>
      <c r="I42" s="6">
        <f t="shared" si="4"/>
        <v>76190.476190476184</v>
      </c>
    </row>
    <row r="43" spans="4:9" x14ac:dyDescent="0.45">
      <c r="D43">
        <v>1.3</v>
      </c>
      <c r="E43">
        <f t="shared" si="0"/>
        <v>1.25</v>
      </c>
      <c r="F43">
        <f t="shared" si="1"/>
        <v>1.35</v>
      </c>
      <c r="G43" s="5">
        <f t="shared" si="2"/>
        <v>0</v>
      </c>
      <c r="H43" s="6">
        <f t="shared" si="3"/>
        <v>0</v>
      </c>
      <c r="I43" s="6">
        <f t="shared" si="4"/>
        <v>82539.682539682544</v>
      </c>
    </row>
    <row r="44" spans="4:9" x14ac:dyDescent="0.45">
      <c r="D44">
        <v>1.4</v>
      </c>
      <c r="E44">
        <f t="shared" si="0"/>
        <v>1.3499999999999999</v>
      </c>
      <c r="F44">
        <f t="shared" si="1"/>
        <v>1.45</v>
      </c>
      <c r="G44" s="5">
        <f t="shared" si="2"/>
        <v>0</v>
      </c>
      <c r="H44" s="6">
        <f t="shared" si="3"/>
        <v>0</v>
      </c>
      <c r="I44" s="6">
        <f t="shared" si="4"/>
        <v>88888.888888888876</v>
      </c>
    </row>
    <row r="45" spans="4:9" x14ac:dyDescent="0.45">
      <c r="D45">
        <v>1.5</v>
      </c>
      <c r="E45">
        <f t="shared" si="0"/>
        <v>1.45</v>
      </c>
      <c r="F45">
        <f t="shared" si="1"/>
        <v>1.55</v>
      </c>
      <c r="G45" s="5">
        <f t="shared" si="2"/>
        <v>0</v>
      </c>
      <c r="H45" s="6">
        <f t="shared" si="3"/>
        <v>0</v>
      </c>
      <c r="I45" s="6">
        <f t="shared" si="4"/>
        <v>95238.095238095237</v>
      </c>
    </row>
    <row r="46" spans="4:9" x14ac:dyDescent="0.45">
      <c r="D46">
        <v>1.6</v>
      </c>
      <c r="E46">
        <f t="shared" si="0"/>
        <v>1.55</v>
      </c>
      <c r="F46">
        <f t="shared" si="1"/>
        <v>1.6500000000000001</v>
      </c>
      <c r="G46" s="5">
        <f t="shared" si="2"/>
        <v>0</v>
      </c>
      <c r="H46" s="6">
        <f t="shared" si="3"/>
        <v>0</v>
      </c>
      <c r="I46" s="6">
        <f t="shared" si="4"/>
        <v>101587.3015873016</v>
      </c>
    </row>
    <row r="47" spans="4:9" x14ac:dyDescent="0.45">
      <c r="D47">
        <v>1.7</v>
      </c>
      <c r="E47">
        <f t="shared" si="0"/>
        <v>1.65</v>
      </c>
      <c r="F47">
        <f t="shared" si="1"/>
        <v>1.75</v>
      </c>
      <c r="G47" s="5">
        <f t="shared" si="2"/>
        <v>0</v>
      </c>
      <c r="H47" s="6">
        <f t="shared" si="3"/>
        <v>0</v>
      </c>
      <c r="I47" s="6">
        <f t="shared" si="4"/>
        <v>107936.50793650793</v>
      </c>
    </row>
    <row r="48" spans="4:9" x14ac:dyDescent="0.45">
      <c r="D48">
        <v>1.8</v>
      </c>
      <c r="E48">
        <f t="shared" si="0"/>
        <v>1.75</v>
      </c>
      <c r="F48">
        <f t="shared" si="1"/>
        <v>1.85</v>
      </c>
      <c r="G48" s="5">
        <f t="shared" si="2"/>
        <v>0</v>
      </c>
      <c r="H48" s="6">
        <f t="shared" si="3"/>
        <v>0</v>
      </c>
      <c r="I48" s="6">
        <f t="shared" si="4"/>
        <v>114285.71428571429</v>
      </c>
    </row>
    <row r="49" spans="4:9" x14ac:dyDescent="0.45">
      <c r="D49">
        <v>1.9</v>
      </c>
      <c r="E49">
        <f t="shared" si="0"/>
        <v>1.8499999999999999</v>
      </c>
      <c r="F49">
        <f t="shared" si="1"/>
        <v>1.95</v>
      </c>
      <c r="G49" s="5">
        <f t="shared" si="2"/>
        <v>0</v>
      </c>
      <c r="H49" s="6">
        <f t="shared" si="3"/>
        <v>0</v>
      </c>
      <c r="I49" s="6">
        <f t="shared" si="4"/>
        <v>120634.92063492062</v>
      </c>
    </row>
    <row r="50" spans="4:9" x14ac:dyDescent="0.45">
      <c r="D50">
        <v>2</v>
      </c>
      <c r="E50">
        <f t="shared" si="0"/>
        <v>1.95</v>
      </c>
      <c r="F50">
        <f t="shared" si="1"/>
        <v>2.0499999999999998</v>
      </c>
      <c r="G50" s="5">
        <f t="shared" si="2"/>
        <v>0</v>
      </c>
      <c r="H50" s="6">
        <f t="shared" si="3"/>
        <v>0</v>
      </c>
      <c r="I50" s="6">
        <f t="shared" si="4"/>
        <v>126984.12698412698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004EC-8DCE-43BE-9C05-7D9177877285}">
  <dimension ref="A1:I50"/>
  <sheetViews>
    <sheetView zoomScale="52" zoomScaleNormal="40" workbookViewId="0">
      <selection activeCell="L44" sqref="L44"/>
    </sheetView>
  </sheetViews>
  <sheetFormatPr defaultRowHeight="14.25" x14ac:dyDescent="0.45"/>
  <cols>
    <col min="1" max="2" width="13.3984375" customWidth="1"/>
    <col min="4" max="4" width="19.86328125" customWidth="1"/>
    <col min="5" max="5" width="10.33203125" customWidth="1"/>
    <col min="6" max="6" width="9.1328125" bestFit="1" customWidth="1"/>
    <col min="7" max="7" width="13.6640625" customWidth="1"/>
    <col min="8" max="8" width="18.59765625" customWidth="1"/>
    <col min="9" max="9" width="14.9296875" customWidth="1"/>
  </cols>
  <sheetData>
    <row r="1" spans="1:9" x14ac:dyDescent="0.45">
      <c r="A1" s="1" t="s">
        <v>1</v>
      </c>
      <c r="B1" s="1" t="s">
        <v>2</v>
      </c>
    </row>
    <row r="2" spans="1:9" x14ac:dyDescent="0.45">
      <c r="A2" s="2" t="s">
        <v>0</v>
      </c>
      <c r="B2" s="3">
        <v>160000000</v>
      </c>
    </row>
    <row r="3" spans="1:9" ht="26.25" customHeight="1" x14ac:dyDescent="0.45">
      <c r="A3" s="2" t="s">
        <v>14</v>
      </c>
      <c r="B3" s="2">
        <v>1</v>
      </c>
    </row>
    <row r="4" spans="1:9" x14ac:dyDescent="0.45">
      <c r="A4" t="s">
        <v>16</v>
      </c>
      <c r="B4">
        <f>B2*B3</f>
        <v>160000000</v>
      </c>
    </row>
    <row r="5" spans="1:9" x14ac:dyDescent="0.45">
      <c r="A5" t="s">
        <v>18</v>
      </c>
      <c r="B5">
        <f>10*12</f>
        <v>120</v>
      </c>
    </row>
    <row r="6" spans="1:9" x14ac:dyDescent="0.45">
      <c r="A6" t="s">
        <v>19</v>
      </c>
      <c r="B6">
        <f>B4/B5</f>
        <v>1333333.3333333333</v>
      </c>
    </row>
    <row r="7" spans="1:9" x14ac:dyDescent="0.45">
      <c r="A7" t="s">
        <v>11</v>
      </c>
      <c r="B7">
        <v>0</v>
      </c>
    </row>
    <row r="8" spans="1:9" x14ac:dyDescent="0.45">
      <c r="A8" t="s">
        <v>12</v>
      </c>
      <c r="B8">
        <f>0.1*SQRT(21)</f>
        <v>0.45825756949558399</v>
      </c>
    </row>
    <row r="9" spans="1:9" x14ac:dyDescent="0.45">
      <c r="A9" t="s">
        <v>13</v>
      </c>
      <c r="B9">
        <v>0.1</v>
      </c>
      <c r="D9" t="s">
        <v>4</v>
      </c>
      <c r="E9" t="s">
        <v>6</v>
      </c>
      <c r="F9" t="s">
        <v>7</v>
      </c>
      <c r="G9" t="s">
        <v>8</v>
      </c>
      <c r="H9" t="s">
        <v>10</v>
      </c>
      <c r="I9" t="s">
        <v>3</v>
      </c>
    </row>
    <row r="10" spans="1:9" x14ac:dyDescent="0.45">
      <c r="D10">
        <v>-2</v>
      </c>
      <c r="E10">
        <f t="shared" ref="E10:E50" si="0">D10 - $B$9/2</f>
        <v>-2.0499999999999998</v>
      </c>
      <c r="F10">
        <f t="shared" ref="F10:F50" si="1">D10 + $B$9/2</f>
        <v>-1.95</v>
      </c>
      <c r="G10" s="5">
        <f t="shared" ref="G10:G50" si="2">_xlfn.NORM.DIST(F10,$B$7,$B$8,TRUE)- _xlfn.NORM.DIST(E10,$B$7,$B$8,TRUE)</f>
        <v>6.5927549913149791E-6</v>
      </c>
      <c r="H10" s="6">
        <f t="shared" ref="H10:H50" si="3">G10*D10*$B$6</f>
        <v>-17.580679976839942</v>
      </c>
      <c r="I10" s="6">
        <f t="shared" ref="I10:I50" si="4">$B$6*D10</f>
        <v>-2666666.6666666665</v>
      </c>
    </row>
    <row r="11" spans="1:9" x14ac:dyDescent="0.45">
      <c r="D11">
        <v>-1.9</v>
      </c>
      <c r="E11">
        <f t="shared" si="0"/>
        <v>-1.95</v>
      </c>
      <c r="F11">
        <f t="shared" si="1"/>
        <v>-1.8499999999999999</v>
      </c>
      <c r="G11" s="5">
        <f t="shared" si="2"/>
        <v>1.6625131126972268E-5</v>
      </c>
      <c r="H11" s="6">
        <f t="shared" si="3"/>
        <v>-42.11699885499641</v>
      </c>
      <c r="I11" s="6">
        <f t="shared" si="4"/>
        <v>-2533333.333333333</v>
      </c>
    </row>
    <row r="12" spans="1:9" x14ac:dyDescent="0.45">
      <c r="D12">
        <v>-1.8</v>
      </c>
      <c r="E12">
        <f t="shared" si="0"/>
        <v>-1.85</v>
      </c>
      <c r="F12">
        <f t="shared" si="1"/>
        <v>-1.75</v>
      </c>
      <c r="G12" s="5">
        <f t="shared" si="2"/>
        <v>3.9981697529023388E-5</v>
      </c>
      <c r="H12" s="6">
        <f t="shared" si="3"/>
        <v>-95.956074069656125</v>
      </c>
      <c r="I12" s="6">
        <f t="shared" si="4"/>
        <v>-2400000</v>
      </c>
    </row>
    <row r="13" spans="1:9" x14ac:dyDescent="0.45">
      <c r="D13">
        <v>-1.7</v>
      </c>
      <c r="E13">
        <f t="shared" si="0"/>
        <v>-1.75</v>
      </c>
      <c r="F13">
        <f t="shared" si="1"/>
        <v>-1.65</v>
      </c>
      <c r="G13" s="5">
        <f t="shared" si="2"/>
        <v>9.1697122685026648E-5</v>
      </c>
      <c r="H13" s="6">
        <f t="shared" si="3"/>
        <v>-207.8468114193937</v>
      </c>
      <c r="I13" s="6">
        <f t="shared" si="4"/>
        <v>-2266666.6666666665</v>
      </c>
    </row>
    <row r="14" spans="1:9" x14ac:dyDescent="0.45">
      <c r="D14">
        <v>-1.6</v>
      </c>
      <c r="E14">
        <f t="shared" si="0"/>
        <v>-1.6500000000000001</v>
      </c>
      <c r="F14">
        <f t="shared" si="1"/>
        <v>-1.55</v>
      </c>
      <c r="G14" s="5">
        <f t="shared" si="2"/>
        <v>2.0056207937225345E-4</v>
      </c>
      <c r="H14" s="6">
        <f t="shared" si="3"/>
        <v>-427.86576932747403</v>
      </c>
      <c r="I14" s="6">
        <f t="shared" si="4"/>
        <v>-2133333.3333333335</v>
      </c>
    </row>
    <row r="15" spans="1:9" x14ac:dyDescent="0.45">
      <c r="A15" t="s">
        <v>9</v>
      </c>
      <c r="B15" s="7">
        <f>SUM(G10:G50)</f>
        <v>0.99999230384697158</v>
      </c>
      <c r="D15">
        <v>-1.5</v>
      </c>
      <c r="E15">
        <f t="shared" si="0"/>
        <v>-1.55</v>
      </c>
      <c r="F15">
        <f t="shared" si="1"/>
        <v>-1.45</v>
      </c>
      <c r="G15" s="5">
        <f t="shared" si="2"/>
        <v>4.183510527005906E-4</v>
      </c>
      <c r="H15" s="6">
        <f t="shared" si="3"/>
        <v>-836.70210540118114</v>
      </c>
      <c r="I15" s="6">
        <f t="shared" si="4"/>
        <v>-2000000</v>
      </c>
    </row>
    <row r="16" spans="1:9" x14ac:dyDescent="0.45">
      <c r="D16">
        <v>-1.4</v>
      </c>
      <c r="E16">
        <f t="shared" si="0"/>
        <v>-1.45</v>
      </c>
      <c r="F16">
        <f t="shared" si="1"/>
        <v>-1.3499999999999999</v>
      </c>
      <c r="G16" s="5">
        <f t="shared" si="2"/>
        <v>8.3220843054144697E-4</v>
      </c>
      <c r="H16" s="6">
        <f t="shared" si="3"/>
        <v>-1553.4557370107009</v>
      </c>
      <c r="I16" s="6">
        <f t="shared" si="4"/>
        <v>-1866666.6666666665</v>
      </c>
    </row>
    <row r="17" spans="4:9" x14ac:dyDescent="0.45">
      <c r="D17">
        <v>-1.3</v>
      </c>
      <c r="E17">
        <f t="shared" si="0"/>
        <v>-1.35</v>
      </c>
      <c r="F17">
        <f t="shared" si="1"/>
        <v>-1.25</v>
      </c>
      <c r="G17" s="5">
        <f t="shared" si="2"/>
        <v>1.5787843653832774E-3</v>
      </c>
      <c r="H17" s="6">
        <f t="shared" si="3"/>
        <v>-2736.5595666643471</v>
      </c>
      <c r="I17" s="6">
        <f t="shared" si="4"/>
        <v>-1733333.3333333333</v>
      </c>
    </row>
    <row r="18" spans="4:9" x14ac:dyDescent="0.45">
      <c r="D18">
        <v>-1.2</v>
      </c>
      <c r="E18">
        <f t="shared" si="0"/>
        <v>-1.25</v>
      </c>
      <c r="F18">
        <f t="shared" si="1"/>
        <v>-1.1499999999999999</v>
      </c>
      <c r="G18" s="5">
        <f t="shared" si="2"/>
        <v>2.8563618633557315E-3</v>
      </c>
      <c r="H18" s="6">
        <f t="shared" si="3"/>
        <v>-4570.1789813691703</v>
      </c>
      <c r="I18" s="6">
        <f t="shared" si="4"/>
        <v>-1599999.9999999998</v>
      </c>
    </row>
    <row r="19" spans="4:9" x14ac:dyDescent="0.45">
      <c r="D19">
        <v>-1.1000000000000001</v>
      </c>
      <c r="E19">
        <f t="shared" si="0"/>
        <v>-1.1500000000000001</v>
      </c>
      <c r="F19">
        <f t="shared" si="1"/>
        <v>-1.05</v>
      </c>
      <c r="G19" s="5">
        <f t="shared" si="2"/>
        <v>4.9283729274235428E-3</v>
      </c>
      <c r="H19" s="6">
        <f t="shared" si="3"/>
        <v>-7228.2802935545296</v>
      </c>
      <c r="I19" s="6">
        <f t="shared" si="4"/>
        <v>-1466666.6666666667</v>
      </c>
    </row>
    <row r="20" spans="4:9" x14ac:dyDescent="0.45">
      <c r="D20">
        <v>-1</v>
      </c>
      <c r="E20">
        <f t="shared" si="0"/>
        <v>-1.05</v>
      </c>
      <c r="F20">
        <f t="shared" si="1"/>
        <v>-0.95</v>
      </c>
      <c r="G20" s="5">
        <f t="shared" si="2"/>
        <v>8.1094992277915678E-3</v>
      </c>
      <c r="H20" s="6">
        <f t="shared" si="3"/>
        <v>-10812.665637055423</v>
      </c>
      <c r="I20" s="6">
        <f t="shared" si="4"/>
        <v>-1333333.3333333333</v>
      </c>
    </row>
    <row r="21" spans="4:9" x14ac:dyDescent="0.45">
      <c r="D21">
        <v>-0.9</v>
      </c>
      <c r="E21">
        <f t="shared" si="0"/>
        <v>-0.95000000000000007</v>
      </c>
      <c r="F21">
        <f t="shared" si="1"/>
        <v>-0.85</v>
      </c>
      <c r="G21" s="5">
        <f t="shared" si="2"/>
        <v>1.2725792491666919E-2</v>
      </c>
      <c r="H21" s="6">
        <f t="shared" si="3"/>
        <v>-15270.950990000301</v>
      </c>
      <c r="I21" s="6">
        <f t="shared" si="4"/>
        <v>-1200000</v>
      </c>
    </row>
    <row r="22" spans="4:9" x14ac:dyDescent="0.45">
      <c r="D22">
        <v>-0.8</v>
      </c>
      <c r="E22">
        <f t="shared" si="0"/>
        <v>-0.85000000000000009</v>
      </c>
      <c r="F22">
        <f t="shared" si="1"/>
        <v>-0.75</v>
      </c>
      <c r="G22" s="5">
        <f t="shared" si="2"/>
        <v>1.9044787794464758E-2</v>
      </c>
      <c r="H22" s="6">
        <f t="shared" si="3"/>
        <v>-20314.440314095744</v>
      </c>
      <c r="I22" s="6">
        <f t="shared" si="4"/>
        <v>-1066666.6666666667</v>
      </c>
    </row>
    <row r="23" spans="4:9" x14ac:dyDescent="0.45">
      <c r="D23">
        <v>-0.7</v>
      </c>
      <c r="E23">
        <f t="shared" si="0"/>
        <v>-0.75</v>
      </c>
      <c r="F23">
        <f t="shared" si="1"/>
        <v>-0.64999999999999991</v>
      </c>
      <c r="G23" s="5">
        <f t="shared" si="2"/>
        <v>2.7181166700275164E-2</v>
      </c>
      <c r="H23" s="6">
        <f t="shared" si="3"/>
        <v>-25369.088920256818</v>
      </c>
      <c r="I23" s="6">
        <f t="shared" si="4"/>
        <v>-933333.33333333326</v>
      </c>
    </row>
    <row r="24" spans="4:9" x14ac:dyDescent="0.45">
      <c r="D24">
        <v>-0.6</v>
      </c>
      <c r="E24">
        <f t="shared" si="0"/>
        <v>-0.65</v>
      </c>
      <c r="F24">
        <f t="shared" si="1"/>
        <v>-0.54999999999999993</v>
      </c>
      <c r="G24" s="5">
        <f t="shared" si="2"/>
        <v>3.6996517297376547E-2</v>
      </c>
      <c r="H24" s="6">
        <f t="shared" si="3"/>
        <v>-29597.213837901236</v>
      </c>
      <c r="I24" s="6">
        <f t="shared" si="4"/>
        <v>-799999.99999999988</v>
      </c>
    </row>
    <row r="25" spans="4:9" x14ac:dyDescent="0.45">
      <c r="D25">
        <v>-0.5</v>
      </c>
      <c r="E25">
        <f t="shared" si="0"/>
        <v>-0.55000000000000004</v>
      </c>
      <c r="F25">
        <f t="shared" si="1"/>
        <v>-0.45</v>
      </c>
      <c r="G25" s="5">
        <f t="shared" si="2"/>
        <v>4.8023576997046236E-2</v>
      </c>
      <c r="H25" s="6">
        <f t="shared" si="3"/>
        <v>-32015.717998030821</v>
      </c>
      <c r="I25" s="6">
        <f t="shared" si="4"/>
        <v>-666666.66666666663</v>
      </c>
    </row>
    <row r="26" spans="4:9" x14ac:dyDescent="0.45">
      <c r="D26">
        <v>-0.4</v>
      </c>
      <c r="E26">
        <f t="shared" si="0"/>
        <v>-0.45</v>
      </c>
      <c r="F26">
        <f t="shared" si="1"/>
        <v>-0.35000000000000003</v>
      </c>
      <c r="G26" s="5">
        <f t="shared" si="2"/>
        <v>5.9449633363123477E-2</v>
      </c>
      <c r="H26" s="6">
        <f t="shared" si="3"/>
        <v>-31706.471126999186</v>
      </c>
      <c r="I26" s="6">
        <f t="shared" si="4"/>
        <v>-533333.33333333337</v>
      </c>
    </row>
    <row r="27" spans="4:9" x14ac:dyDescent="0.45">
      <c r="D27">
        <v>-0.3</v>
      </c>
      <c r="E27">
        <f t="shared" si="0"/>
        <v>-0.35</v>
      </c>
      <c r="F27">
        <f t="shared" si="1"/>
        <v>-0.25</v>
      </c>
      <c r="G27" s="5">
        <f t="shared" si="2"/>
        <v>7.0185104857112629E-2</v>
      </c>
      <c r="H27" s="6">
        <f t="shared" si="3"/>
        <v>-28074.041942845048</v>
      </c>
      <c r="I27" s="6">
        <f t="shared" si="4"/>
        <v>-399999.99999999994</v>
      </c>
    </row>
    <row r="28" spans="4:9" x14ac:dyDescent="0.45">
      <c r="D28">
        <v>-0.2</v>
      </c>
      <c r="E28">
        <f t="shared" si="0"/>
        <v>-0.25</v>
      </c>
      <c r="F28">
        <f t="shared" si="1"/>
        <v>-0.15000000000000002</v>
      </c>
      <c r="G28" s="5">
        <f t="shared" si="2"/>
        <v>7.9020884617145515E-2</v>
      </c>
      <c r="H28" s="6">
        <f t="shared" si="3"/>
        <v>-21072.23589790547</v>
      </c>
      <c r="I28" s="6">
        <f t="shared" si="4"/>
        <v>-266666.66666666669</v>
      </c>
    </row>
    <row r="29" spans="4:9" x14ac:dyDescent="0.45">
      <c r="D29">
        <v>-0.1</v>
      </c>
      <c r="E29">
        <f t="shared" si="0"/>
        <v>-0.15000000000000002</v>
      </c>
      <c r="F29">
        <f t="shared" si="1"/>
        <v>-0.05</v>
      </c>
      <c r="G29" s="5">
        <f t="shared" si="2"/>
        <v>8.4847691188560947E-2</v>
      </c>
      <c r="H29" s="6">
        <f t="shared" si="3"/>
        <v>-11313.025491808126</v>
      </c>
      <c r="I29" s="6">
        <f t="shared" si="4"/>
        <v>-133333.33333333334</v>
      </c>
    </row>
    <row r="30" spans="4:9" x14ac:dyDescent="0.45">
      <c r="D30">
        <v>0</v>
      </c>
      <c r="E30">
        <f t="shared" si="0"/>
        <v>-0.05</v>
      </c>
      <c r="F30">
        <f t="shared" si="1"/>
        <v>0.05</v>
      </c>
      <c r="G30" s="5">
        <f t="shared" si="2"/>
        <v>8.6883919927625675E-2</v>
      </c>
      <c r="H30" s="6">
        <f t="shared" si="3"/>
        <v>0</v>
      </c>
      <c r="I30" s="6">
        <f t="shared" si="4"/>
        <v>0</v>
      </c>
    </row>
    <row r="31" spans="4:9" x14ac:dyDescent="0.45">
      <c r="D31">
        <v>0.1</v>
      </c>
      <c r="E31">
        <f t="shared" si="0"/>
        <v>0.05</v>
      </c>
      <c r="F31">
        <f t="shared" si="1"/>
        <v>0.15000000000000002</v>
      </c>
      <c r="G31" s="5">
        <f t="shared" si="2"/>
        <v>8.4847691188560947E-2</v>
      </c>
      <c r="H31" s="6">
        <f t="shared" si="3"/>
        <v>11313.025491808126</v>
      </c>
      <c r="I31" s="6">
        <f t="shared" si="4"/>
        <v>133333.33333333334</v>
      </c>
    </row>
    <row r="32" spans="4:9" x14ac:dyDescent="0.45">
      <c r="D32">
        <v>0.2</v>
      </c>
      <c r="E32">
        <f t="shared" si="0"/>
        <v>0.15000000000000002</v>
      </c>
      <c r="F32">
        <f t="shared" si="1"/>
        <v>0.25</v>
      </c>
      <c r="G32" s="5">
        <f t="shared" si="2"/>
        <v>7.9020884617145515E-2</v>
      </c>
      <c r="H32" s="6">
        <f t="shared" si="3"/>
        <v>21072.23589790547</v>
      </c>
      <c r="I32" s="6">
        <f t="shared" si="4"/>
        <v>266666.66666666669</v>
      </c>
    </row>
    <row r="33" spans="4:9" x14ac:dyDescent="0.45">
      <c r="D33">
        <v>0.3</v>
      </c>
      <c r="E33">
        <f t="shared" si="0"/>
        <v>0.25</v>
      </c>
      <c r="F33">
        <f t="shared" si="1"/>
        <v>0.35</v>
      </c>
      <c r="G33" s="5">
        <f t="shared" si="2"/>
        <v>7.0185104857112601E-2</v>
      </c>
      <c r="H33" s="6">
        <f t="shared" si="3"/>
        <v>28074.04194284504</v>
      </c>
      <c r="I33" s="6">
        <f t="shared" si="4"/>
        <v>399999.99999999994</v>
      </c>
    </row>
    <row r="34" spans="4:9" x14ac:dyDescent="0.45">
      <c r="D34">
        <v>0.4</v>
      </c>
      <c r="E34">
        <f t="shared" si="0"/>
        <v>0.35000000000000003</v>
      </c>
      <c r="F34">
        <f t="shared" si="1"/>
        <v>0.45</v>
      </c>
      <c r="G34" s="5">
        <f t="shared" si="2"/>
        <v>5.9449633363123477E-2</v>
      </c>
      <c r="H34" s="6">
        <f t="shared" si="3"/>
        <v>31706.471126999186</v>
      </c>
      <c r="I34" s="6">
        <f t="shared" si="4"/>
        <v>533333.33333333337</v>
      </c>
    </row>
    <row r="35" spans="4:9" x14ac:dyDescent="0.45">
      <c r="D35">
        <v>0.5</v>
      </c>
      <c r="E35">
        <f t="shared" si="0"/>
        <v>0.45</v>
      </c>
      <c r="F35">
        <f t="shared" si="1"/>
        <v>0.55000000000000004</v>
      </c>
      <c r="G35" s="5">
        <f t="shared" si="2"/>
        <v>4.8023576997046291E-2</v>
      </c>
      <c r="H35" s="6">
        <f t="shared" si="3"/>
        <v>32015.717998030857</v>
      </c>
      <c r="I35" s="6">
        <f t="shared" si="4"/>
        <v>666666.66666666663</v>
      </c>
    </row>
    <row r="36" spans="4:9" x14ac:dyDescent="0.45">
      <c r="D36">
        <v>0.6</v>
      </c>
      <c r="E36">
        <f t="shared" si="0"/>
        <v>0.54999999999999993</v>
      </c>
      <c r="F36">
        <f t="shared" si="1"/>
        <v>0.65</v>
      </c>
      <c r="G36" s="5">
        <f t="shared" si="2"/>
        <v>3.6996517297376519E-2</v>
      </c>
      <c r="H36" s="6">
        <f t="shared" si="3"/>
        <v>29597.21383790121</v>
      </c>
      <c r="I36" s="6">
        <f t="shared" si="4"/>
        <v>799999.99999999988</v>
      </c>
    </row>
    <row r="37" spans="4:9" x14ac:dyDescent="0.45">
      <c r="D37">
        <v>0.7</v>
      </c>
      <c r="E37">
        <f t="shared" si="0"/>
        <v>0.64999999999999991</v>
      </c>
      <c r="F37">
        <f t="shared" si="1"/>
        <v>0.75</v>
      </c>
      <c r="G37" s="5">
        <f t="shared" si="2"/>
        <v>2.718116670027515E-2</v>
      </c>
      <c r="H37" s="6">
        <f t="shared" si="3"/>
        <v>25369.088920256803</v>
      </c>
      <c r="I37" s="6">
        <f t="shared" si="4"/>
        <v>933333.33333333326</v>
      </c>
    </row>
    <row r="38" spans="4:9" x14ac:dyDescent="0.45">
      <c r="D38">
        <v>0.8</v>
      </c>
      <c r="E38">
        <f t="shared" si="0"/>
        <v>0.75</v>
      </c>
      <c r="F38">
        <f t="shared" si="1"/>
        <v>0.85000000000000009</v>
      </c>
      <c r="G38" s="5">
        <f t="shared" si="2"/>
        <v>1.9044787794464724E-2</v>
      </c>
      <c r="H38" s="6">
        <f t="shared" si="3"/>
        <v>20314.440314095704</v>
      </c>
      <c r="I38" s="6">
        <f t="shared" si="4"/>
        <v>1066666.6666666667</v>
      </c>
    </row>
    <row r="39" spans="4:9" x14ac:dyDescent="0.45">
      <c r="D39">
        <v>0.9</v>
      </c>
      <c r="E39">
        <f t="shared" si="0"/>
        <v>0.85</v>
      </c>
      <c r="F39">
        <f t="shared" si="1"/>
        <v>0.95000000000000007</v>
      </c>
      <c r="G39" s="5">
        <f t="shared" si="2"/>
        <v>1.2725792491666943E-2</v>
      </c>
      <c r="H39" s="6">
        <f t="shared" si="3"/>
        <v>15270.950990000332</v>
      </c>
      <c r="I39" s="6">
        <f t="shared" si="4"/>
        <v>1200000</v>
      </c>
    </row>
    <row r="40" spans="4:9" x14ac:dyDescent="0.45">
      <c r="D40">
        <v>1</v>
      </c>
      <c r="E40">
        <f t="shared" si="0"/>
        <v>0.95</v>
      </c>
      <c r="F40">
        <f t="shared" si="1"/>
        <v>1.05</v>
      </c>
      <c r="G40" s="5">
        <f t="shared" si="2"/>
        <v>8.1094992277915834E-3</v>
      </c>
      <c r="H40" s="6">
        <f t="shared" si="3"/>
        <v>10812.665637055445</v>
      </c>
      <c r="I40" s="6">
        <f t="shared" si="4"/>
        <v>1333333.3333333333</v>
      </c>
    </row>
    <row r="41" spans="4:9" x14ac:dyDescent="0.45">
      <c r="D41">
        <v>1.1000000000000001</v>
      </c>
      <c r="E41">
        <f t="shared" si="0"/>
        <v>1.05</v>
      </c>
      <c r="F41">
        <f t="shared" si="1"/>
        <v>1.1500000000000001</v>
      </c>
      <c r="G41" s="5">
        <f t="shared" si="2"/>
        <v>4.9283729274235411E-3</v>
      </c>
      <c r="H41" s="6">
        <f t="shared" si="3"/>
        <v>7228.2802935545278</v>
      </c>
      <c r="I41" s="6">
        <f t="shared" si="4"/>
        <v>1466666.6666666667</v>
      </c>
    </row>
    <row r="42" spans="4:9" x14ac:dyDescent="0.45">
      <c r="D42">
        <v>1.2</v>
      </c>
      <c r="E42">
        <f t="shared" si="0"/>
        <v>1.1499999999999999</v>
      </c>
      <c r="F42">
        <f t="shared" si="1"/>
        <v>1.25</v>
      </c>
      <c r="G42" s="5">
        <f t="shared" si="2"/>
        <v>2.8563618633556942E-3</v>
      </c>
      <c r="H42" s="6">
        <f t="shared" si="3"/>
        <v>4570.1789813691103</v>
      </c>
      <c r="I42" s="6">
        <f t="shared" si="4"/>
        <v>1599999.9999999998</v>
      </c>
    </row>
    <row r="43" spans="4:9" x14ac:dyDescent="0.45">
      <c r="D43">
        <v>1.3</v>
      </c>
      <c r="E43">
        <f t="shared" si="0"/>
        <v>1.25</v>
      </c>
      <c r="F43">
        <f t="shared" si="1"/>
        <v>1.35</v>
      </c>
      <c r="G43" s="5">
        <f t="shared" si="2"/>
        <v>1.5787843653832789E-3</v>
      </c>
      <c r="H43" s="6">
        <f t="shared" si="3"/>
        <v>2736.5595666643503</v>
      </c>
      <c r="I43" s="6">
        <f t="shared" si="4"/>
        <v>1733333.3333333333</v>
      </c>
    </row>
    <row r="44" spans="4:9" x14ac:dyDescent="0.45">
      <c r="D44">
        <v>1.4</v>
      </c>
      <c r="E44">
        <f t="shared" si="0"/>
        <v>1.3499999999999999</v>
      </c>
      <c r="F44">
        <f t="shared" si="1"/>
        <v>1.45</v>
      </c>
      <c r="G44" s="5">
        <f t="shared" si="2"/>
        <v>8.3220843054143678E-4</v>
      </c>
      <c r="H44" s="6">
        <f t="shared" si="3"/>
        <v>1553.4557370106818</v>
      </c>
      <c r="I44" s="6">
        <f t="shared" si="4"/>
        <v>1866666.6666666665</v>
      </c>
    </row>
    <row r="45" spans="4:9" x14ac:dyDescent="0.45">
      <c r="D45">
        <v>1.5</v>
      </c>
      <c r="E45">
        <f t="shared" si="0"/>
        <v>1.45</v>
      </c>
      <c r="F45">
        <f t="shared" si="1"/>
        <v>1.55</v>
      </c>
      <c r="G45" s="5">
        <f t="shared" si="2"/>
        <v>4.1835105270060513E-4</v>
      </c>
      <c r="H45" s="6">
        <f t="shared" si="3"/>
        <v>836.70210540121025</v>
      </c>
      <c r="I45" s="6">
        <f t="shared" si="4"/>
        <v>2000000</v>
      </c>
    </row>
    <row r="46" spans="4:9" x14ac:dyDescent="0.45">
      <c r="D46">
        <v>1.6</v>
      </c>
      <c r="E46">
        <f t="shared" si="0"/>
        <v>1.55</v>
      </c>
      <c r="F46">
        <f t="shared" si="1"/>
        <v>1.6500000000000001</v>
      </c>
      <c r="G46" s="5">
        <f t="shared" si="2"/>
        <v>2.0056207937224624E-4</v>
      </c>
      <c r="H46" s="6">
        <f t="shared" si="3"/>
        <v>427.86576932745862</v>
      </c>
      <c r="I46" s="6">
        <f t="shared" si="4"/>
        <v>2133333.3333333335</v>
      </c>
    </row>
    <row r="47" spans="4:9" x14ac:dyDescent="0.45">
      <c r="D47">
        <v>1.7</v>
      </c>
      <c r="E47">
        <f t="shared" si="0"/>
        <v>1.65</v>
      </c>
      <c r="F47">
        <f t="shared" si="1"/>
        <v>1.75</v>
      </c>
      <c r="G47" s="5">
        <f t="shared" si="2"/>
        <v>9.1697122685086008E-5</v>
      </c>
      <c r="H47" s="6">
        <f t="shared" si="3"/>
        <v>207.84681141952825</v>
      </c>
      <c r="I47" s="6">
        <f t="shared" si="4"/>
        <v>2266666.6666666665</v>
      </c>
    </row>
    <row r="48" spans="4:9" x14ac:dyDescent="0.45">
      <c r="D48">
        <v>1.8</v>
      </c>
      <c r="E48">
        <f t="shared" si="0"/>
        <v>1.75</v>
      </c>
      <c r="F48">
        <f t="shared" si="1"/>
        <v>1.85</v>
      </c>
      <c r="G48" s="5">
        <f t="shared" si="2"/>
        <v>3.9981697528945759E-5</v>
      </c>
      <c r="H48" s="6">
        <f t="shared" si="3"/>
        <v>95.956074069469821</v>
      </c>
      <c r="I48" s="6">
        <f t="shared" si="4"/>
        <v>2400000</v>
      </c>
    </row>
    <row r="49" spans="4:9" x14ac:dyDescent="0.45">
      <c r="D49">
        <v>1.9</v>
      </c>
      <c r="E49">
        <f t="shared" si="0"/>
        <v>1.8499999999999999</v>
      </c>
      <c r="F49">
        <f t="shared" si="1"/>
        <v>1.95</v>
      </c>
      <c r="G49" s="5">
        <f t="shared" si="2"/>
        <v>1.6625131126990489E-5</v>
      </c>
      <c r="H49" s="6">
        <f t="shared" si="3"/>
        <v>42.116998855042567</v>
      </c>
      <c r="I49" s="6">
        <f t="shared" si="4"/>
        <v>2533333.333333333</v>
      </c>
    </row>
    <row r="50" spans="4:9" x14ac:dyDescent="0.45">
      <c r="D50">
        <v>2</v>
      </c>
      <c r="E50">
        <f t="shared" si="0"/>
        <v>1.95</v>
      </c>
      <c r="F50">
        <f t="shared" si="1"/>
        <v>2.0499999999999998</v>
      </c>
      <c r="G50" s="5">
        <f t="shared" si="2"/>
        <v>6.592754991374683E-6</v>
      </c>
      <c r="H50" s="6">
        <f t="shared" si="3"/>
        <v>17.580679976999154</v>
      </c>
      <c r="I50" s="6">
        <f t="shared" si="4"/>
        <v>2666666.6666666665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DAAD1-FD1C-4638-B118-36342CA9ABFA}">
  <dimension ref="A2:I37"/>
  <sheetViews>
    <sheetView topLeftCell="A4" zoomScale="59" workbookViewId="0">
      <selection activeCell="E16" sqref="E16"/>
    </sheetView>
  </sheetViews>
  <sheetFormatPr defaultRowHeight="14.25" x14ac:dyDescent="0.45"/>
  <cols>
    <col min="1" max="1" width="13.06640625" customWidth="1"/>
    <col min="2" max="2" width="11.3984375" customWidth="1"/>
    <col min="3" max="3" width="17" customWidth="1"/>
    <col min="4" max="4" width="15.59765625" bestFit="1" customWidth="1"/>
    <col min="5" max="5" width="15" customWidth="1"/>
    <col min="6" max="6" width="17.265625" customWidth="1"/>
    <col min="7" max="7" width="15.59765625" bestFit="1" customWidth="1"/>
    <col min="9" max="9" width="15.796875" bestFit="1" customWidth="1"/>
  </cols>
  <sheetData>
    <row r="2" spans="1:9" x14ac:dyDescent="0.45">
      <c r="A2" t="s">
        <v>19</v>
      </c>
      <c r="B2">
        <f>160000000/120</f>
        <v>1333333.3333333333</v>
      </c>
    </row>
    <row r="3" spans="1:9" x14ac:dyDescent="0.45">
      <c r="A3" s="2" t="s">
        <v>14</v>
      </c>
      <c r="B3" s="2">
        <v>1</v>
      </c>
    </row>
    <row r="4" spans="1:9" x14ac:dyDescent="0.45">
      <c r="A4" t="s">
        <v>25</v>
      </c>
      <c r="B4">
        <v>1000</v>
      </c>
    </row>
    <row r="5" spans="1:9" x14ac:dyDescent="0.45">
      <c r="A5" t="s">
        <v>26</v>
      </c>
      <c r="B5">
        <v>12</v>
      </c>
    </row>
    <row r="6" spans="1:9" x14ac:dyDescent="0.45">
      <c r="A6" t="s">
        <v>15</v>
      </c>
      <c r="B6">
        <f>0.1</f>
        <v>0.1</v>
      </c>
    </row>
    <row r="7" spans="1:9" x14ac:dyDescent="0.45">
      <c r="A7" t="s">
        <v>21</v>
      </c>
      <c r="B7">
        <v>21</v>
      </c>
    </row>
    <row r="8" spans="1:9" x14ac:dyDescent="0.45">
      <c r="A8" t="s">
        <v>22</v>
      </c>
      <c r="B8">
        <v>1000000000</v>
      </c>
    </row>
    <row r="9" spans="1:9" x14ac:dyDescent="0.45">
      <c r="A9" t="s">
        <v>23</v>
      </c>
      <c r="B9">
        <f>B5*B2</f>
        <v>16000000</v>
      </c>
    </row>
    <row r="10" spans="1:9" x14ac:dyDescent="0.45">
      <c r="A10" t="s">
        <v>24</v>
      </c>
      <c r="B10">
        <f>B9/B4</f>
        <v>16000</v>
      </c>
    </row>
    <row r="11" spans="1:9" x14ac:dyDescent="0.45">
      <c r="A11" t="s">
        <v>33</v>
      </c>
      <c r="B11">
        <v>4</v>
      </c>
    </row>
    <row r="12" spans="1:9" x14ac:dyDescent="0.45">
      <c r="A12" t="s">
        <v>34</v>
      </c>
      <c r="B12">
        <v>0.98</v>
      </c>
      <c r="C12" t="s">
        <v>45</v>
      </c>
    </row>
    <row r="14" spans="1:9" ht="28.5" x14ac:dyDescent="0.45">
      <c r="A14" t="s">
        <v>32</v>
      </c>
      <c r="B14" s="1" t="s">
        <v>28</v>
      </c>
      <c r="C14" s="1" t="s">
        <v>29</v>
      </c>
      <c r="D14" s="1" t="s">
        <v>30</v>
      </c>
      <c r="E14" s="1" t="s">
        <v>31</v>
      </c>
      <c r="F14" s="1" t="s">
        <v>35</v>
      </c>
      <c r="G14" s="1" t="s">
        <v>36</v>
      </c>
      <c r="I14" s="1"/>
    </row>
    <row r="15" spans="1:9" x14ac:dyDescent="0.45">
      <c r="A15">
        <v>1</v>
      </c>
      <c r="B15">
        <v>-3.4311245375233411E-2</v>
      </c>
      <c r="C15" s="8">
        <f>$B$2*B15</f>
        <v>-45748.327166977877</v>
      </c>
      <c r="D15" s="6">
        <f t="shared" ref="D15:D34" si="0" xml:space="preserve"> IF(A15=$B$7, $B$11 * $B$12*$B$2, 0)</f>
        <v>0</v>
      </c>
      <c r="E15" s="9">
        <f>C15+D15</f>
        <v>-45748.327166977877</v>
      </c>
      <c r="F15" s="9">
        <f>B8+E15</f>
        <v>999954251.67283297</v>
      </c>
      <c r="G15" s="9">
        <f>F15</f>
        <v>999954251.67283297</v>
      </c>
      <c r="I15" s="6"/>
    </row>
    <row r="16" spans="1:9" x14ac:dyDescent="0.45">
      <c r="A16">
        <v>2</v>
      </c>
      <c r="B16">
        <v>-1.3696907679069517E-2</v>
      </c>
      <c r="C16" s="8">
        <f t="shared" ref="C16:C35" si="1">$B$2*B16</f>
        <v>-18262.543572092687</v>
      </c>
      <c r="D16" s="6">
        <f t="shared" si="0"/>
        <v>0</v>
      </c>
      <c r="E16" s="9">
        <f t="shared" ref="E16:E35" si="2">C16+D16</f>
        <v>-18262.543572092687</v>
      </c>
      <c r="F16" s="9">
        <f>F15+E16</f>
        <v>999935989.1292609</v>
      </c>
      <c r="G16" s="9">
        <f>MIN(G15,F16)</f>
        <v>999935989.1292609</v>
      </c>
    </row>
    <row r="17" spans="1:7" x14ac:dyDescent="0.45">
      <c r="A17">
        <v>3</v>
      </c>
      <c r="B17">
        <v>-1.2569985478278524E-3</v>
      </c>
      <c r="C17" s="8">
        <f t="shared" si="1"/>
        <v>-1675.9980637704698</v>
      </c>
      <c r="D17" s="6">
        <f t="shared" si="0"/>
        <v>0</v>
      </c>
      <c r="E17" s="9">
        <f t="shared" si="2"/>
        <v>-1675.9980637704698</v>
      </c>
      <c r="F17" s="9">
        <f t="shared" ref="F17:F35" si="3">F16+E17</f>
        <v>999934313.13119709</v>
      </c>
      <c r="G17" s="9">
        <f t="shared" ref="G17:G35" si="4">MIN(G16,F17)</f>
        <v>999934313.13119709</v>
      </c>
    </row>
    <row r="18" spans="1:7" x14ac:dyDescent="0.45">
      <c r="A18">
        <v>4</v>
      </c>
      <c r="B18">
        <v>0.12858582705171162</v>
      </c>
      <c r="C18" s="8">
        <f t="shared" si="1"/>
        <v>171447.76940228214</v>
      </c>
      <c r="D18" s="6">
        <f t="shared" si="0"/>
        <v>0</v>
      </c>
      <c r="E18" s="9">
        <f t="shared" si="2"/>
        <v>171447.76940228214</v>
      </c>
      <c r="F18" s="9">
        <f t="shared" si="3"/>
        <v>1000105760.9005994</v>
      </c>
      <c r="G18" s="9">
        <f t="shared" si="4"/>
        <v>999934313.13119709</v>
      </c>
    </row>
    <row r="19" spans="1:7" x14ac:dyDescent="0.45">
      <c r="A19">
        <v>5</v>
      </c>
      <c r="B19">
        <v>-4.930532984892888E-2</v>
      </c>
      <c r="C19" s="8">
        <f t="shared" si="1"/>
        <v>-65740.439798571839</v>
      </c>
      <c r="D19" s="6">
        <f t="shared" si="0"/>
        <v>0</v>
      </c>
      <c r="E19" s="9">
        <f t="shared" si="2"/>
        <v>-65740.439798571839</v>
      </c>
      <c r="F19" s="9">
        <f t="shared" si="3"/>
        <v>1000040020.4608008</v>
      </c>
      <c r="G19" s="9">
        <f t="shared" si="4"/>
        <v>999934313.13119709</v>
      </c>
    </row>
    <row r="20" spans="1:7" x14ac:dyDescent="0.45">
      <c r="A20">
        <v>6</v>
      </c>
      <c r="B20">
        <v>2.7704338150408153E-2</v>
      </c>
      <c r="C20" s="8">
        <f t="shared" si="1"/>
        <v>36939.117533877536</v>
      </c>
      <c r="D20" s="6">
        <f t="shared" si="0"/>
        <v>0</v>
      </c>
      <c r="E20" s="9">
        <f t="shared" si="2"/>
        <v>36939.117533877536</v>
      </c>
      <c r="F20" s="9">
        <f t="shared" si="3"/>
        <v>1000076959.5783347</v>
      </c>
      <c r="G20" s="9">
        <f t="shared" si="4"/>
        <v>999934313.13119709</v>
      </c>
    </row>
    <row r="21" spans="1:7" x14ac:dyDescent="0.45">
      <c r="A21">
        <v>7</v>
      </c>
      <c r="B21">
        <v>2.6037982631753223E-3</v>
      </c>
      <c r="C21" s="8">
        <f t="shared" si="1"/>
        <v>3471.7310175670964</v>
      </c>
      <c r="D21" s="6">
        <f t="shared" si="0"/>
        <v>0</v>
      </c>
      <c r="E21" s="9">
        <f t="shared" si="2"/>
        <v>3471.7310175670964</v>
      </c>
      <c r="F21" s="9">
        <f t="shared" si="3"/>
        <v>1000080431.3093523</v>
      </c>
      <c r="G21" s="9">
        <f t="shared" si="4"/>
        <v>999934313.13119709</v>
      </c>
    </row>
    <row r="22" spans="1:7" x14ac:dyDescent="0.45">
      <c r="A22">
        <v>8</v>
      </c>
      <c r="B22">
        <v>-3.7254380106570557E-3</v>
      </c>
      <c r="C22" s="8">
        <f t="shared" si="1"/>
        <v>-4967.2506808760736</v>
      </c>
      <c r="D22" s="6">
        <f t="shared" si="0"/>
        <v>0</v>
      </c>
      <c r="E22" s="9">
        <f t="shared" si="2"/>
        <v>-4967.2506808760736</v>
      </c>
      <c r="F22" s="9">
        <f t="shared" si="3"/>
        <v>1000075464.0586714</v>
      </c>
      <c r="G22" s="9">
        <f t="shared" si="4"/>
        <v>999934313.13119709</v>
      </c>
    </row>
    <row r="23" spans="1:7" x14ac:dyDescent="0.45">
      <c r="A23">
        <v>9</v>
      </c>
      <c r="B23">
        <v>-0.11106864527657066</v>
      </c>
      <c r="C23" s="8">
        <f t="shared" si="1"/>
        <v>-148091.52703542754</v>
      </c>
      <c r="D23" s="6">
        <f t="shared" si="0"/>
        <v>0</v>
      </c>
      <c r="E23" s="9">
        <f t="shared" si="2"/>
        <v>-148091.52703542754</v>
      </c>
      <c r="F23" s="9">
        <f t="shared" si="3"/>
        <v>999927372.53163588</v>
      </c>
      <c r="G23" s="9">
        <f t="shared" si="4"/>
        <v>999927372.53163588</v>
      </c>
    </row>
    <row r="24" spans="1:7" x14ac:dyDescent="0.45">
      <c r="A24">
        <v>10</v>
      </c>
      <c r="B24">
        <v>8.266346050839346E-2</v>
      </c>
      <c r="C24" s="8">
        <f t="shared" si="1"/>
        <v>110217.94734452461</v>
      </c>
      <c r="D24" s="6">
        <f t="shared" si="0"/>
        <v>0</v>
      </c>
      <c r="E24" s="9">
        <f t="shared" si="2"/>
        <v>110217.94734452461</v>
      </c>
      <c r="F24" s="9">
        <f t="shared" si="3"/>
        <v>1000037590.4789804</v>
      </c>
      <c r="G24" s="9">
        <f t="shared" si="4"/>
        <v>999927372.53163588</v>
      </c>
    </row>
    <row r="25" spans="1:7" x14ac:dyDescent="0.45">
      <c r="A25">
        <v>11</v>
      </c>
      <c r="B25">
        <v>-9.1094050873629692E-2</v>
      </c>
      <c r="C25" s="8">
        <f t="shared" si="1"/>
        <v>-121458.73449817291</v>
      </c>
      <c r="D25" s="6">
        <f t="shared" si="0"/>
        <v>0</v>
      </c>
      <c r="E25" s="9">
        <f t="shared" si="2"/>
        <v>-121458.73449817291</v>
      </c>
      <c r="F25" s="9">
        <f t="shared" si="3"/>
        <v>999916131.74448228</v>
      </c>
      <c r="G25" s="9">
        <f t="shared" si="4"/>
        <v>999916131.74448228</v>
      </c>
    </row>
    <row r="26" spans="1:7" x14ac:dyDescent="0.45">
      <c r="A26">
        <v>12</v>
      </c>
      <c r="B26">
        <v>-9.0062685309266075E-2</v>
      </c>
      <c r="C26" s="8">
        <f t="shared" si="1"/>
        <v>-120083.58041235476</v>
      </c>
      <c r="D26" s="6">
        <f t="shared" si="0"/>
        <v>0</v>
      </c>
      <c r="E26" s="9">
        <f t="shared" si="2"/>
        <v>-120083.58041235476</v>
      </c>
      <c r="F26" s="9">
        <f t="shared" si="3"/>
        <v>999796048.16406989</v>
      </c>
      <c r="G26" s="9">
        <f t="shared" si="4"/>
        <v>999796048.16406989</v>
      </c>
    </row>
    <row r="27" spans="1:7" x14ac:dyDescent="0.45">
      <c r="A27">
        <v>13</v>
      </c>
      <c r="B27">
        <v>4.1527953035312903E-3</v>
      </c>
      <c r="C27" s="8">
        <f t="shared" si="1"/>
        <v>5537.0604047083871</v>
      </c>
      <c r="D27" s="6">
        <f t="shared" si="0"/>
        <v>0</v>
      </c>
      <c r="E27" s="9">
        <f t="shared" si="2"/>
        <v>5537.0604047083871</v>
      </c>
      <c r="F27" s="9">
        <f t="shared" si="3"/>
        <v>999801585.22447455</v>
      </c>
      <c r="G27" s="9">
        <f t="shared" si="4"/>
        <v>999796048.16406989</v>
      </c>
    </row>
    <row r="28" spans="1:7" x14ac:dyDescent="0.45">
      <c r="A28">
        <v>14</v>
      </c>
      <c r="B28">
        <v>1.0635641098064166E-2</v>
      </c>
      <c r="C28" s="8">
        <f t="shared" si="1"/>
        <v>14180.854797418886</v>
      </c>
      <c r="D28" s="6">
        <f t="shared" si="0"/>
        <v>0</v>
      </c>
      <c r="E28" s="9">
        <f t="shared" si="2"/>
        <v>14180.854797418886</v>
      </c>
      <c r="F28" s="9">
        <f t="shared" si="3"/>
        <v>999815766.07927191</v>
      </c>
      <c r="G28" s="9">
        <f t="shared" si="4"/>
        <v>999796048.16406989</v>
      </c>
    </row>
    <row r="29" spans="1:7" x14ac:dyDescent="0.45">
      <c r="A29">
        <v>15</v>
      </c>
      <c r="B29">
        <v>4.0195903585337117E-2</v>
      </c>
      <c r="C29" s="8">
        <f t="shared" si="1"/>
        <v>53594.538113782823</v>
      </c>
      <c r="D29" s="6">
        <f t="shared" si="0"/>
        <v>0</v>
      </c>
      <c r="E29" s="9">
        <f t="shared" si="2"/>
        <v>53594.538113782823</v>
      </c>
      <c r="F29" s="9">
        <f t="shared" si="3"/>
        <v>999869360.61738575</v>
      </c>
      <c r="G29" s="9">
        <f t="shared" si="4"/>
        <v>999796048.16406989</v>
      </c>
    </row>
    <row r="30" spans="1:7" x14ac:dyDescent="0.45">
      <c r="A30">
        <v>16</v>
      </c>
      <c r="B30">
        <v>4.4276958876170357E-2</v>
      </c>
      <c r="C30" s="8">
        <f t="shared" si="1"/>
        <v>59035.945168227139</v>
      </c>
      <c r="D30" s="6">
        <f t="shared" si="0"/>
        <v>0</v>
      </c>
      <c r="E30" s="9">
        <f t="shared" si="2"/>
        <v>59035.945168227139</v>
      </c>
      <c r="F30" s="9">
        <f t="shared" si="3"/>
        <v>999928396.562554</v>
      </c>
      <c r="G30" s="9">
        <f t="shared" si="4"/>
        <v>999796048.16406989</v>
      </c>
    </row>
    <row r="31" spans="1:7" x14ac:dyDescent="0.45">
      <c r="A31">
        <v>17</v>
      </c>
      <c r="B31">
        <v>-0.13421181110670222</v>
      </c>
      <c r="C31" s="8">
        <f t="shared" si="1"/>
        <v>-178949.08147560296</v>
      </c>
      <c r="D31" s="6">
        <f t="shared" si="0"/>
        <v>0</v>
      </c>
      <c r="E31" s="9">
        <f t="shared" si="2"/>
        <v>-178949.08147560296</v>
      </c>
      <c r="F31" s="9">
        <f t="shared" si="3"/>
        <v>999749447.48107839</v>
      </c>
      <c r="G31" s="9">
        <f t="shared" si="4"/>
        <v>999749447.48107839</v>
      </c>
    </row>
    <row r="32" spans="1:7" x14ac:dyDescent="0.45">
      <c r="A32">
        <v>18</v>
      </c>
      <c r="B32">
        <v>-2.231942723511841E-2</v>
      </c>
      <c r="C32" s="8">
        <f t="shared" si="1"/>
        <v>-29759.236313491212</v>
      </c>
      <c r="D32" s="6">
        <f t="shared" si="0"/>
        <v>0</v>
      </c>
      <c r="E32" s="9">
        <f t="shared" si="2"/>
        <v>-29759.236313491212</v>
      </c>
      <c r="F32" s="9">
        <f t="shared" si="3"/>
        <v>999719688.24476492</v>
      </c>
      <c r="G32" s="9">
        <f t="shared" si="4"/>
        <v>999719688.24476492</v>
      </c>
    </row>
    <row r="33" spans="1:7" x14ac:dyDescent="0.45">
      <c r="A33">
        <v>19</v>
      </c>
      <c r="B33">
        <v>-7.594588839755867E-2</v>
      </c>
      <c r="C33" s="8">
        <f t="shared" si="1"/>
        <v>-101261.18453007822</v>
      </c>
      <c r="D33" s="6">
        <f t="shared" si="0"/>
        <v>0</v>
      </c>
      <c r="E33" s="9">
        <f t="shared" si="2"/>
        <v>-101261.18453007822</v>
      </c>
      <c r="F33" s="9">
        <f t="shared" si="3"/>
        <v>999618427.0602349</v>
      </c>
      <c r="G33" s="9">
        <f t="shared" si="4"/>
        <v>999618427.0602349</v>
      </c>
    </row>
    <row r="34" spans="1:7" x14ac:dyDescent="0.45">
      <c r="A34">
        <v>20</v>
      </c>
      <c r="B34">
        <v>-0.10733495003768459</v>
      </c>
      <c r="C34" s="8">
        <f t="shared" si="1"/>
        <v>-143113.26671691277</v>
      </c>
      <c r="D34" s="6">
        <f t="shared" si="0"/>
        <v>0</v>
      </c>
      <c r="E34" s="9">
        <f t="shared" si="2"/>
        <v>-143113.26671691277</v>
      </c>
      <c r="F34" s="9">
        <f t="shared" si="3"/>
        <v>999475313.79351795</v>
      </c>
      <c r="G34" s="9">
        <f t="shared" si="4"/>
        <v>999475313.79351795</v>
      </c>
    </row>
    <row r="35" spans="1:7" x14ac:dyDescent="0.45">
      <c r="A35">
        <v>21</v>
      </c>
      <c r="B35">
        <v>-5.0182953993157059E-2</v>
      </c>
      <c r="C35" s="8">
        <f t="shared" si="1"/>
        <v>-66910.605324209406</v>
      </c>
      <c r="D35" s="6">
        <f xml:space="preserve"> IF(A35=$B$7, $B$11 * $B$12*$B$2, 0)</f>
        <v>5226666.666666666</v>
      </c>
      <c r="E35" s="9">
        <f t="shared" si="2"/>
        <v>5159756.0613424564</v>
      </c>
      <c r="F35" s="9">
        <f t="shared" si="3"/>
        <v>1004635069.8548604</v>
      </c>
      <c r="G35" s="9">
        <f t="shared" si="4"/>
        <v>999475313.79351795</v>
      </c>
    </row>
    <row r="37" spans="1:7" x14ac:dyDescent="0.45">
      <c r="E37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A4C2E-E0AB-4C0A-9056-8CCB65F9AC5E}">
  <dimension ref="A1:M29"/>
  <sheetViews>
    <sheetView zoomScale="65" workbookViewId="0">
      <selection activeCell="I5" sqref="I5"/>
    </sheetView>
  </sheetViews>
  <sheetFormatPr defaultRowHeight="14.25" x14ac:dyDescent="0.45"/>
  <cols>
    <col min="2" max="2" width="12.6640625" customWidth="1"/>
    <col min="3" max="3" width="18.265625" customWidth="1"/>
    <col min="5" max="5" width="16.1328125" customWidth="1"/>
    <col min="6" max="6" width="14.796875" customWidth="1"/>
    <col min="7" max="7" width="18" customWidth="1"/>
    <col min="10" max="10" width="17.6640625" customWidth="1"/>
    <col min="11" max="11" width="18.06640625" customWidth="1"/>
    <col min="12" max="12" width="15.33203125" customWidth="1"/>
    <col min="13" max="13" width="17.33203125" customWidth="1"/>
  </cols>
  <sheetData>
    <row r="1" spans="1:13" x14ac:dyDescent="0.45">
      <c r="A1" t="s">
        <v>50</v>
      </c>
      <c r="B1">
        <v>1000000000</v>
      </c>
    </row>
    <row r="2" spans="1:13" x14ac:dyDescent="0.45">
      <c r="A2" t="s">
        <v>15</v>
      </c>
      <c r="B2">
        <v>0.4</v>
      </c>
    </row>
    <row r="3" spans="1:13" x14ac:dyDescent="0.45">
      <c r="A3" t="s">
        <v>38</v>
      </c>
      <c r="B3">
        <f>16000000</f>
        <v>16000000</v>
      </c>
    </row>
    <row r="4" spans="1:13" x14ac:dyDescent="0.45">
      <c r="A4" t="s">
        <v>39</v>
      </c>
      <c r="B4">
        <v>21</v>
      </c>
    </row>
    <row r="5" spans="1:13" x14ac:dyDescent="0.45">
      <c r="A5" t="s">
        <v>12</v>
      </c>
      <c r="B5">
        <f>B2*SQRT(B4)</f>
        <v>1.833030277982336</v>
      </c>
    </row>
    <row r="6" spans="1:13" x14ac:dyDescent="0.45">
      <c r="A6" t="s">
        <v>11</v>
      </c>
      <c r="B6">
        <v>0</v>
      </c>
    </row>
    <row r="8" spans="1:13" x14ac:dyDescent="0.45">
      <c r="B8" t="s">
        <v>40</v>
      </c>
      <c r="C8" t="s">
        <v>41</v>
      </c>
      <c r="E8" t="s">
        <v>42</v>
      </c>
      <c r="F8" t="s">
        <v>43</v>
      </c>
      <c r="G8" t="s">
        <v>44</v>
      </c>
      <c r="I8" t="s">
        <v>27</v>
      </c>
      <c r="J8" t="s">
        <v>46</v>
      </c>
      <c r="K8" t="s">
        <v>47</v>
      </c>
      <c r="L8" t="s">
        <v>48</v>
      </c>
      <c r="M8" t="s">
        <v>49</v>
      </c>
    </row>
    <row r="9" spans="1:13" x14ac:dyDescent="0.45">
      <c r="B9">
        <v>-3.7904223283632135</v>
      </c>
      <c r="C9" s="6">
        <f>$B$3*B9</f>
        <v>-60646757.253811419</v>
      </c>
      <c r="E9" s="9">
        <f>AVERAGE(C9:C21)</f>
        <v>523203.37867723679</v>
      </c>
      <c r="F9" s="8">
        <f>_xlfn.STDEV.S(C9:C21)</f>
        <v>28296729.39941664</v>
      </c>
      <c r="G9" s="6">
        <f>_xlfn.PERCENTILE.INC(C9:C21,0.05)</f>
        <v>-53768521.859881401</v>
      </c>
      <c r="I9">
        <v>1</v>
      </c>
      <c r="J9" s="9">
        <f>$G$9/21</f>
        <v>-2560405.8028514953</v>
      </c>
      <c r="K9" s="6">
        <v>0</v>
      </c>
      <c r="L9" s="9">
        <f>K9+J9</f>
        <v>-2560405.8028514953</v>
      </c>
      <c r="M9" s="9">
        <f>B1+L9</f>
        <v>997439594.19714856</v>
      </c>
    </row>
    <row r="10" spans="1:13" x14ac:dyDescent="0.45">
      <c r="B10">
        <v>-3.0739394748288369</v>
      </c>
      <c r="C10" s="6">
        <f t="shared" ref="C10:C21" si="0">$B$3*B10</f>
        <v>-49183031.597261392</v>
      </c>
      <c r="I10">
        <v>2</v>
      </c>
      <c r="J10" s="9">
        <f t="shared" ref="J10:J28" si="1">$G$9/21</f>
        <v>-2560405.8028514953</v>
      </c>
      <c r="K10" s="6">
        <v>0</v>
      </c>
      <c r="L10" s="9">
        <f t="shared" ref="L10:L29" si="2">K10+J10</f>
        <v>-2560405.8028514953</v>
      </c>
      <c r="M10" s="9">
        <f>M9+L10</f>
        <v>994879188.39429712</v>
      </c>
    </row>
    <row r="11" spans="1:13" x14ac:dyDescent="0.45">
      <c r="B11">
        <v>0.95139286169563198</v>
      </c>
      <c r="C11" s="6">
        <f t="shared" si="0"/>
        <v>15222285.787130112</v>
      </c>
      <c r="G11" t="s">
        <v>115</v>
      </c>
      <c r="I11">
        <v>3</v>
      </c>
      <c r="J11" s="9">
        <f t="shared" si="1"/>
        <v>-2560405.8028514953</v>
      </c>
      <c r="K11" s="6">
        <v>0</v>
      </c>
      <c r="L11" s="9">
        <f t="shared" si="2"/>
        <v>-2560405.8028514953</v>
      </c>
      <c r="M11" s="9">
        <f t="shared" ref="M11:M29" si="3">M10+L11</f>
        <v>992318782.59144568</v>
      </c>
    </row>
    <row r="12" spans="1:13" x14ac:dyDescent="0.45">
      <c r="B12">
        <v>1.8683837439605169</v>
      </c>
      <c r="C12" s="6">
        <f t="shared" si="0"/>
        <v>29894139.903368268</v>
      </c>
      <c r="G12">
        <v>75</v>
      </c>
      <c r="I12">
        <v>4</v>
      </c>
      <c r="J12" s="9">
        <f t="shared" si="1"/>
        <v>-2560405.8028514953</v>
      </c>
      <c r="K12" s="6">
        <v>0</v>
      </c>
      <c r="L12" s="9">
        <f t="shared" si="2"/>
        <v>-2560405.8028514953</v>
      </c>
      <c r="M12" s="9">
        <f t="shared" si="3"/>
        <v>989758376.78859425</v>
      </c>
    </row>
    <row r="13" spans="1:13" x14ac:dyDescent="0.45">
      <c r="B13">
        <v>-4.8902700543456003E-2</v>
      </c>
      <c r="C13" s="6">
        <f t="shared" si="0"/>
        <v>-782443.20869529608</v>
      </c>
      <c r="I13">
        <v>5</v>
      </c>
      <c r="J13" s="9">
        <f t="shared" si="1"/>
        <v>-2560405.8028514953</v>
      </c>
      <c r="K13" s="6">
        <v>0</v>
      </c>
      <c r="L13" s="9">
        <f t="shared" si="2"/>
        <v>-2560405.8028514953</v>
      </c>
      <c r="M13" s="9">
        <f t="shared" si="3"/>
        <v>987197970.98574281</v>
      </c>
    </row>
    <row r="14" spans="1:13" x14ac:dyDescent="0.45">
      <c r="B14">
        <v>-0.4066410961274462</v>
      </c>
      <c r="C14" s="6">
        <f t="shared" si="0"/>
        <v>-6506257.5380391395</v>
      </c>
      <c r="I14">
        <v>6</v>
      </c>
      <c r="J14" s="9">
        <f t="shared" si="1"/>
        <v>-2560405.8028514953</v>
      </c>
      <c r="K14" s="6">
        <v>0</v>
      </c>
      <c r="L14" s="9">
        <f t="shared" si="2"/>
        <v>-2560405.8028514953</v>
      </c>
      <c r="M14" s="9">
        <f t="shared" si="3"/>
        <v>984637565.18289137</v>
      </c>
    </row>
    <row r="15" spans="1:13" x14ac:dyDescent="0.45">
      <c r="B15">
        <v>1.2321719245984117</v>
      </c>
      <c r="C15" s="6">
        <f t="shared" si="0"/>
        <v>19714750.793574587</v>
      </c>
      <c r="I15">
        <v>7</v>
      </c>
      <c r="J15" s="9">
        <f t="shared" si="1"/>
        <v>-2560405.8028514953</v>
      </c>
      <c r="K15" s="6">
        <v>0</v>
      </c>
      <c r="L15" s="9">
        <f t="shared" si="2"/>
        <v>-2560405.8028514953</v>
      </c>
      <c r="M15" s="9">
        <f t="shared" si="3"/>
        <v>982077159.38003993</v>
      </c>
    </row>
    <row r="16" spans="1:13" x14ac:dyDescent="0.45">
      <c r="B16">
        <v>1.8937106004801716</v>
      </c>
      <c r="C16" s="6">
        <f t="shared" si="0"/>
        <v>30299369.607682746</v>
      </c>
      <c r="I16">
        <v>8</v>
      </c>
      <c r="J16" s="9">
        <f t="shared" si="1"/>
        <v>-2560405.8028514953</v>
      </c>
      <c r="K16" s="6">
        <v>0</v>
      </c>
      <c r="L16" s="9">
        <f t="shared" si="2"/>
        <v>-2560405.8028514953</v>
      </c>
      <c r="M16" s="9">
        <f t="shared" si="3"/>
        <v>979516753.57718849</v>
      </c>
    </row>
    <row r="17" spans="2:13" x14ac:dyDescent="0.45">
      <c r="B17">
        <v>-0.84733708979297273</v>
      </c>
      <c r="C17" s="6">
        <f t="shared" si="0"/>
        <v>-13557393.436687564</v>
      </c>
      <c r="I17">
        <v>9</v>
      </c>
      <c r="J17" s="9">
        <f t="shared" si="1"/>
        <v>-2560405.8028514953</v>
      </c>
      <c r="K17" s="6">
        <v>0</v>
      </c>
      <c r="L17" s="9">
        <f t="shared" si="2"/>
        <v>-2560405.8028514953</v>
      </c>
      <c r="M17" s="9">
        <f t="shared" si="3"/>
        <v>976956347.77433705</v>
      </c>
    </row>
    <row r="18" spans="2:13" x14ac:dyDescent="0.45">
      <c r="B18">
        <v>1.5741528547261434</v>
      </c>
      <c r="C18" s="6">
        <f t="shared" si="0"/>
        <v>25186445.675618295</v>
      </c>
      <c r="I18">
        <v>10</v>
      </c>
      <c r="J18" s="9">
        <f t="shared" si="1"/>
        <v>-2560405.8028514953</v>
      </c>
      <c r="K18" s="6">
        <v>0</v>
      </c>
      <c r="L18" s="9">
        <f t="shared" si="2"/>
        <v>-2560405.8028514953</v>
      </c>
      <c r="M18" s="9">
        <f t="shared" si="3"/>
        <v>974395941.97148561</v>
      </c>
    </row>
    <row r="19" spans="2:13" x14ac:dyDescent="0.45">
      <c r="B19">
        <v>0.89400757507223072</v>
      </c>
      <c r="C19" s="6">
        <f t="shared" si="0"/>
        <v>14304121.201155692</v>
      </c>
      <c r="I19">
        <v>11</v>
      </c>
      <c r="J19" s="9">
        <f t="shared" si="1"/>
        <v>-2560405.8028514953</v>
      </c>
      <c r="K19" s="6">
        <v>0</v>
      </c>
      <c r="L19" s="9">
        <f t="shared" si="2"/>
        <v>-2560405.8028514953</v>
      </c>
      <c r="M19" s="9">
        <f t="shared" si="3"/>
        <v>971835536.16863418</v>
      </c>
    </row>
    <row r="20" spans="2:13" x14ac:dyDescent="0.45">
      <c r="B20">
        <v>-7.0850752529519806E-2</v>
      </c>
      <c r="C20" s="6">
        <f t="shared" si="0"/>
        <v>-1133612.0404723168</v>
      </c>
      <c r="I20">
        <v>12</v>
      </c>
      <c r="J20" s="9">
        <f t="shared" si="1"/>
        <v>-2560405.8028514953</v>
      </c>
      <c r="K20" s="6">
        <v>0</v>
      </c>
      <c r="L20" s="9">
        <f t="shared" si="2"/>
        <v>-2560405.8028514953</v>
      </c>
      <c r="M20" s="9">
        <f t="shared" si="3"/>
        <v>969275130.36578274</v>
      </c>
    </row>
    <row r="21" spans="2:13" x14ac:dyDescent="0.45">
      <c r="B21">
        <v>0.24937662682759368</v>
      </c>
      <c r="C21" s="6">
        <f t="shared" si="0"/>
        <v>3990026.029241499</v>
      </c>
      <c r="I21">
        <v>13</v>
      </c>
      <c r="J21" s="9">
        <f t="shared" si="1"/>
        <v>-2560405.8028514953</v>
      </c>
      <c r="K21" s="6">
        <v>0</v>
      </c>
      <c r="L21" s="9">
        <f t="shared" si="2"/>
        <v>-2560405.8028514953</v>
      </c>
      <c r="M21" s="9">
        <f t="shared" si="3"/>
        <v>966714724.5629313</v>
      </c>
    </row>
    <row r="22" spans="2:13" x14ac:dyDescent="0.45">
      <c r="C22" s="6"/>
      <c r="I22">
        <v>14</v>
      </c>
      <c r="J22" s="9">
        <f t="shared" si="1"/>
        <v>-2560405.8028514953</v>
      </c>
      <c r="K22" s="6">
        <v>0</v>
      </c>
      <c r="L22" s="9">
        <f t="shared" si="2"/>
        <v>-2560405.8028514953</v>
      </c>
      <c r="M22" s="9">
        <f t="shared" si="3"/>
        <v>964154318.76007986</v>
      </c>
    </row>
    <row r="23" spans="2:13" x14ac:dyDescent="0.45">
      <c r="C23" s="6"/>
      <c r="I23">
        <v>15</v>
      </c>
      <c r="J23" s="9">
        <f t="shared" si="1"/>
        <v>-2560405.8028514953</v>
      </c>
      <c r="K23" s="6">
        <v>0</v>
      </c>
      <c r="L23" s="9">
        <f t="shared" si="2"/>
        <v>-2560405.8028514953</v>
      </c>
      <c r="M23" s="9">
        <f t="shared" si="3"/>
        <v>961593912.95722842</v>
      </c>
    </row>
    <row r="24" spans="2:13" x14ac:dyDescent="0.45">
      <c r="I24">
        <v>16</v>
      </c>
      <c r="J24" s="9">
        <f t="shared" si="1"/>
        <v>-2560405.8028514953</v>
      </c>
      <c r="K24" s="6">
        <v>0</v>
      </c>
      <c r="L24" s="9">
        <f t="shared" si="2"/>
        <v>-2560405.8028514953</v>
      </c>
      <c r="M24" s="9">
        <f t="shared" si="3"/>
        <v>959033507.15437698</v>
      </c>
    </row>
    <row r="25" spans="2:13" x14ac:dyDescent="0.45">
      <c r="I25">
        <v>17</v>
      </c>
      <c r="J25" s="9">
        <f t="shared" si="1"/>
        <v>-2560405.8028514953</v>
      </c>
      <c r="K25" s="6">
        <v>0</v>
      </c>
      <c r="L25" s="9">
        <f t="shared" si="2"/>
        <v>-2560405.8028514953</v>
      </c>
      <c r="M25" s="9">
        <f t="shared" si="3"/>
        <v>956473101.35152555</v>
      </c>
    </row>
    <row r="26" spans="2:13" x14ac:dyDescent="0.45">
      <c r="I26">
        <v>18</v>
      </c>
      <c r="J26" s="9">
        <f t="shared" si="1"/>
        <v>-2560405.8028514953</v>
      </c>
      <c r="K26" s="6">
        <v>0</v>
      </c>
      <c r="L26" s="9">
        <f t="shared" si="2"/>
        <v>-2560405.8028514953</v>
      </c>
      <c r="M26" s="9">
        <f t="shared" si="3"/>
        <v>953912695.54867411</v>
      </c>
    </row>
    <row r="27" spans="2:13" x14ac:dyDescent="0.45">
      <c r="I27">
        <v>19</v>
      </c>
      <c r="J27" s="9">
        <f t="shared" si="1"/>
        <v>-2560405.8028514953</v>
      </c>
      <c r="K27" s="6">
        <v>0</v>
      </c>
      <c r="L27" s="9">
        <f t="shared" si="2"/>
        <v>-2560405.8028514953</v>
      </c>
      <c r="M27" s="9">
        <f t="shared" si="3"/>
        <v>951352289.74582267</v>
      </c>
    </row>
    <row r="28" spans="2:13" ht="13.5" customHeight="1" x14ac:dyDescent="0.45">
      <c r="I28">
        <v>20</v>
      </c>
      <c r="J28" s="9">
        <f t="shared" si="1"/>
        <v>-2560405.8028514953</v>
      </c>
      <c r="K28" s="6">
        <v>0</v>
      </c>
      <c r="L28" s="9">
        <f t="shared" si="2"/>
        <v>-2560405.8028514953</v>
      </c>
      <c r="M28" s="9">
        <f t="shared" si="3"/>
        <v>948791883.94297123</v>
      </c>
    </row>
    <row r="29" spans="2:13" ht="19.899999999999999" customHeight="1" x14ac:dyDescent="0.45">
      <c r="I29">
        <v>21</v>
      </c>
      <c r="J29" s="9">
        <f>($G$9/21)</f>
        <v>-2560405.8028514953</v>
      </c>
      <c r="K29" s="15"/>
      <c r="L29" s="9">
        <f t="shared" si="2"/>
        <v>-2560405.8028514953</v>
      </c>
      <c r="M29" s="9">
        <f t="shared" si="3"/>
        <v>946231478.14011979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6F429-22B4-4005-816D-2C2D8D101964}">
  <dimension ref="B3:C5"/>
  <sheetViews>
    <sheetView workbookViewId="0">
      <selection activeCell="C6" sqref="C6"/>
    </sheetView>
  </sheetViews>
  <sheetFormatPr defaultRowHeight="14.25" x14ac:dyDescent="0.45"/>
  <cols>
    <col min="2" max="2" width="12.9296875" customWidth="1"/>
  </cols>
  <sheetData>
    <row r="3" spans="2:3" x14ac:dyDescent="0.45">
      <c r="B3" t="s">
        <v>99</v>
      </c>
    </row>
    <row r="5" spans="2:3" x14ac:dyDescent="0.45">
      <c r="B5" t="s">
        <v>76</v>
      </c>
      <c r="C5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D66A7-C1DB-4F9F-BCE5-6EC8E9CBB4DE}">
  <dimension ref="A3:F23"/>
  <sheetViews>
    <sheetView zoomScale="85" workbookViewId="0">
      <selection activeCell="H13" sqref="H13"/>
    </sheetView>
  </sheetViews>
  <sheetFormatPr defaultRowHeight="14.25" x14ac:dyDescent="0.45"/>
  <cols>
    <col min="1" max="1" width="14.06640625" customWidth="1"/>
    <col min="2" max="2" width="16.53125" customWidth="1"/>
    <col min="4" max="4" width="16.3984375" customWidth="1"/>
    <col min="5" max="5" width="17.59765625" customWidth="1"/>
    <col min="6" max="6" width="16.53125" customWidth="1"/>
  </cols>
  <sheetData>
    <row r="3" spans="1:6" x14ac:dyDescent="0.45">
      <c r="A3" t="s">
        <v>101</v>
      </c>
      <c r="B3">
        <f>'Testing Button'!C5/80</f>
        <v>0.95</v>
      </c>
      <c r="E3" s="1"/>
      <c r="F3" s="1"/>
    </row>
    <row r="4" spans="1:6" ht="14.25" customHeight="1" x14ac:dyDescent="0.45">
      <c r="A4" t="s">
        <v>104</v>
      </c>
      <c r="B4" cm="1">
        <f t="array" ref="B4">_xlfn.IFS(B3&lt;1,0.01,B3&lt;1.05,0.1,TRUE,0.22)</f>
        <v>0.01</v>
      </c>
      <c r="E4" s="2" t="s">
        <v>102</v>
      </c>
      <c r="F4" s="2" t="s">
        <v>103</v>
      </c>
    </row>
    <row r="5" spans="1:6" x14ac:dyDescent="0.45">
      <c r="A5" t="s">
        <v>5</v>
      </c>
      <c r="B5" cm="1">
        <f t="array" ref="B5">_xlfn.IFS(B3&lt;1,0.1,B3&lt;1.05,0.22,TRUE,0.4)</f>
        <v>0.1</v>
      </c>
      <c r="E5" s="2" t="s">
        <v>116</v>
      </c>
      <c r="F5" s="2" t="s">
        <v>107</v>
      </c>
    </row>
    <row r="6" spans="1:6" ht="15" customHeight="1" x14ac:dyDescent="0.45">
      <c r="A6" t="s">
        <v>105</v>
      </c>
      <c r="B6">
        <f ca="1">B4+(B5-B4)*RAND()</f>
        <v>8.3147683754904916E-2</v>
      </c>
      <c r="E6" s="2" t="s">
        <v>117</v>
      </c>
      <c r="F6" s="2" t="s">
        <v>108</v>
      </c>
    </row>
    <row r="7" spans="1:6" x14ac:dyDescent="0.45">
      <c r="A7" t="s">
        <v>38</v>
      </c>
      <c r="B7">
        <f>16000000</f>
        <v>16000000</v>
      </c>
      <c r="E7" s="2" t="s">
        <v>110</v>
      </c>
      <c r="F7" s="2" t="s">
        <v>109</v>
      </c>
    </row>
    <row r="8" spans="1:6" x14ac:dyDescent="0.45">
      <c r="A8" t="s">
        <v>118</v>
      </c>
      <c r="B8">
        <f ca="1">B6*SQRT(11)</f>
        <v>0.27576966920214863</v>
      </c>
    </row>
    <row r="9" spans="1:6" x14ac:dyDescent="0.45">
      <c r="A9" t="s">
        <v>11</v>
      </c>
      <c r="B9">
        <v>0</v>
      </c>
    </row>
    <row r="11" spans="1:6" x14ac:dyDescent="0.45">
      <c r="A11" t="s">
        <v>40</v>
      </c>
      <c r="B11" t="s">
        <v>113</v>
      </c>
      <c r="D11" t="s">
        <v>120</v>
      </c>
      <c r="E11" t="s">
        <v>106</v>
      </c>
      <c r="F11" t="s">
        <v>44</v>
      </c>
    </row>
    <row r="12" spans="1:6" x14ac:dyDescent="0.45">
      <c r="A12">
        <f ca="1">_xlfn.NORM.INV(RAND(),$B$9,$B$8)</f>
        <v>-0.13098529542272816</v>
      </c>
      <c r="B12" s="6">
        <f ca="1">$B$7*A12</f>
        <v>-2095764.7267636505</v>
      </c>
      <c r="D12" s="9">
        <f ca="1">AVERAGE(B12:B23)</f>
        <v>-1089357.1381291687</v>
      </c>
      <c r="E12" s="6">
        <f ca="1">_xlfn.STDEV.S(B12:B23)</f>
        <v>3944548.9625872974</v>
      </c>
      <c r="F12" s="14">
        <f ca="1">_xlfn.PERCENTILE.INC(B12:B23,0.05)</f>
        <v>-5990037.1268035807</v>
      </c>
    </row>
    <row r="13" spans="1:6" x14ac:dyDescent="0.45">
      <c r="A13">
        <f t="shared" ref="A12:A23" ca="1" si="0">_xlfn.NORM.INV(RAND(),$B$9,$B$8)</f>
        <v>-0.41002725170184928</v>
      </c>
      <c r="B13" s="6">
        <f t="shared" ref="B13:B23" ca="1" si="1">$B$7*A13</f>
        <v>-6560436.0272295885</v>
      </c>
    </row>
    <row r="14" spans="1:6" x14ac:dyDescent="0.45">
      <c r="A14">
        <f t="shared" ca="1" si="0"/>
        <v>0.22238500615053319</v>
      </c>
      <c r="B14" s="6">
        <f t="shared" ca="1" si="1"/>
        <v>3558160.0984085309</v>
      </c>
    </row>
    <row r="15" spans="1:6" x14ac:dyDescent="0.45">
      <c r="A15">
        <f t="shared" ca="1" si="0"/>
        <v>-0.23187186977202262</v>
      </c>
      <c r="B15" s="6">
        <f t="shared" ca="1" si="1"/>
        <v>-3709949.9163523619</v>
      </c>
    </row>
    <row r="16" spans="1:6" x14ac:dyDescent="0.45">
      <c r="A16">
        <f t="shared" ca="1" si="0"/>
        <v>-0.34520919483525747</v>
      </c>
      <c r="B16" s="6">
        <f t="shared" ca="1" si="1"/>
        <v>-5523347.1173641197</v>
      </c>
    </row>
    <row r="17" spans="1:2" x14ac:dyDescent="0.45">
      <c r="A17">
        <f t="shared" ca="1" si="0"/>
        <v>-0.27842947807302326</v>
      </c>
      <c r="B17" s="6">
        <f t="shared" ca="1" si="1"/>
        <v>-4454871.6491683722</v>
      </c>
    </row>
    <row r="18" spans="1:2" x14ac:dyDescent="0.45">
      <c r="A18">
        <f t="shared" ca="1" si="0"/>
        <v>0.36070213589675026</v>
      </c>
      <c r="B18" s="6">
        <f t="shared" ca="1" si="1"/>
        <v>5771234.1743480042</v>
      </c>
    </row>
    <row r="19" spans="1:2" x14ac:dyDescent="0.45">
      <c r="A19">
        <f t="shared" ca="1" si="0"/>
        <v>-0.14695170400458421</v>
      </c>
      <c r="B19" s="6">
        <f t="shared" ca="1" si="1"/>
        <v>-2351227.2640733472</v>
      </c>
    </row>
    <row r="20" spans="1:2" x14ac:dyDescent="0.45">
      <c r="A20">
        <f t="shared" ca="1" si="0"/>
        <v>0.17399786890807761</v>
      </c>
      <c r="B20" s="6">
        <f t="shared" ca="1" si="1"/>
        <v>2783965.902529242</v>
      </c>
    </row>
    <row r="21" spans="1:2" x14ac:dyDescent="0.45">
      <c r="A21">
        <f t="shared" ca="1" si="0"/>
        <v>-0.10888106105583278</v>
      </c>
      <c r="B21" s="6">
        <f t="shared" ca="1" si="1"/>
        <v>-1742096.9768933246</v>
      </c>
    </row>
    <row r="22" spans="1:2" x14ac:dyDescent="0.45">
      <c r="A22">
        <f t="shared" ca="1" si="0"/>
        <v>-0.10598188843406062</v>
      </c>
      <c r="B22" s="6">
        <f t="shared" ca="1" si="1"/>
        <v>-1695710.2149449699</v>
      </c>
    </row>
    <row r="23" spans="1:2" x14ac:dyDescent="0.45">
      <c r="A23">
        <f t="shared" ca="1" si="0"/>
        <v>0.18423487874712083</v>
      </c>
      <c r="B23" s="6">
        <f t="shared" ca="1" si="1"/>
        <v>2947758.0599539331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EFF43-B9E7-4A5B-A05C-E3F805984141}">
  <dimension ref="A2:L28"/>
  <sheetViews>
    <sheetView topLeftCell="A2" zoomScale="70" workbookViewId="0">
      <selection activeCell="B2" sqref="B2"/>
    </sheetView>
  </sheetViews>
  <sheetFormatPr defaultRowHeight="14.25" x14ac:dyDescent="0.45"/>
  <cols>
    <col min="1" max="1" width="13.73046875" customWidth="1"/>
    <col min="5" max="5" width="16.3984375" customWidth="1"/>
    <col min="6" max="6" width="11.06640625" customWidth="1"/>
    <col min="7" max="7" width="16.19921875" customWidth="1"/>
    <col min="8" max="8" width="17" customWidth="1"/>
    <col min="12" max="12" width="14.86328125" customWidth="1"/>
  </cols>
  <sheetData>
    <row r="2" spans="1:12" x14ac:dyDescent="0.45">
      <c r="A2" t="s">
        <v>51</v>
      </c>
      <c r="B2">
        <v>80</v>
      </c>
    </row>
    <row r="3" spans="1:12" x14ac:dyDescent="0.45">
      <c r="A3" t="s">
        <v>52</v>
      </c>
      <c r="B3">
        <f>'Testing Button'!C5</f>
        <v>76</v>
      </c>
    </row>
    <row r="4" spans="1:12" x14ac:dyDescent="0.45">
      <c r="A4" t="s">
        <v>53</v>
      </c>
      <c r="B4" s="4">
        <f>(B3-B2)/B3</f>
        <v>-5.2631578947368418E-2</v>
      </c>
    </row>
    <row r="5" spans="1:12" x14ac:dyDescent="0.45">
      <c r="A5" t="s">
        <v>75</v>
      </c>
      <c r="B5">
        <f>'Testing Button'!C6</f>
        <v>0</v>
      </c>
    </row>
    <row r="6" spans="1:12" x14ac:dyDescent="0.45">
      <c r="A6" t="s">
        <v>63</v>
      </c>
      <c r="B6">
        <f ca="1">'Loss At Risk Analysis'!B8</f>
        <v>0.27576966920214863</v>
      </c>
    </row>
    <row r="7" spans="1:12" x14ac:dyDescent="0.45">
      <c r="A7" t="s">
        <v>21</v>
      </c>
      <c r="B7">
        <v>12</v>
      </c>
    </row>
    <row r="8" spans="1:12" x14ac:dyDescent="0.45">
      <c r="A8" t="s">
        <v>19</v>
      </c>
      <c r="B8">
        <f>160000000/120</f>
        <v>1333333.3333333333</v>
      </c>
    </row>
    <row r="9" spans="1:12" x14ac:dyDescent="0.45">
      <c r="A9" t="s">
        <v>54</v>
      </c>
      <c r="B9">
        <v>80</v>
      </c>
    </row>
    <row r="12" spans="1:12" x14ac:dyDescent="0.45">
      <c r="A12" t="s">
        <v>55</v>
      </c>
      <c r="B12" t="s">
        <v>56</v>
      </c>
      <c r="C12" t="s">
        <v>57</v>
      </c>
      <c r="D12" t="s">
        <v>58</v>
      </c>
      <c r="E12" t="s">
        <v>62</v>
      </c>
      <c r="F12" t="s">
        <v>59</v>
      </c>
      <c r="G12" t="s">
        <v>61</v>
      </c>
    </row>
    <row r="13" spans="1:12" x14ac:dyDescent="0.45">
      <c r="A13">
        <v>1</v>
      </c>
      <c r="B13">
        <f ca="1">_xlfn.NORM.INV(RAND(),$B$9,$B$6)</f>
        <v>79.498523289249505</v>
      </c>
      <c r="C13">
        <f ca="1">B13*(1+$B$4)</f>
        <v>75.314390484552163</v>
      </c>
      <c r="D13">
        <f ca="1">B13-C13</f>
        <v>4.1841328046973416</v>
      </c>
      <c r="E13" s="6">
        <f ca="1">D13*$B$8</f>
        <v>5578843.7395964554</v>
      </c>
      <c r="F13">
        <f ca="1">C13-$B$9</f>
        <v>-4.6856095154478368</v>
      </c>
      <c r="G13" s="6">
        <f ca="1">F13*$B$8</f>
        <v>-6247479.3539304491</v>
      </c>
      <c r="L13" s="9"/>
    </row>
    <row r="14" spans="1:12" x14ac:dyDescent="0.45">
      <c r="A14">
        <v>2</v>
      </c>
      <c r="B14">
        <f t="shared" ref="B14:B24" ca="1" si="0">_xlfn.NORM.INV(RAND(),$B$9,$B$6)</f>
        <v>79.881729930575489</v>
      </c>
      <c r="C14">
        <f t="shared" ref="C14:C24" ca="1" si="1">B14*(1+$B$4)</f>
        <v>75.677428355282046</v>
      </c>
      <c r="D14">
        <f t="shared" ref="D14:D24" ca="1" si="2">B14-C14</f>
        <v>4.2043015752934423</v>
      </c>
      <c r="E14" s="6">
        <f t="shared" ref="E14:E24" ca="1" si="3">D14*$B$8</f>
        <v>5605735.4337245896</v>
      </c>
      <c r="F14">
        <f t="shared" ref="F14:F24" ca="1" si="4">C14-$B$9</f>
        <v>-4.3225716447179536</v>
      </c>
      <c r="G14" s="6">
        <f t="shared" ref="G14:G24" ca="1" si="5">F14*$B$8</f>
        <v>-5763428.8596239379</v>
      </c>
      <c r="L14" s="9"/>
    </row>
    <row r="15" spans="1:12" x14ac:dyDescent="0.45">
      <c r="A15">
        <v>3</v>
      </c>
      <c r="B15">
        <f t="shared" ca="1" si="0"/>
        <v>80.131767877585418</v>
      </c>
      <c r="C15">
        <f t="shared" ca="1" si="1"/>
        <v>75.914306410344082</v>
      </c>
      <c r="D15">
        <f t="shared" ca="1" si="2"/>
        <v>4.2174614672413355</v>
      </c>
      <c r="E15" s="6">
        <f ca="1">D15*$B$8</f>
        <v>5623281.9563217806</v>
      </c>
      <c r="F15">
        <f t="shared" ca="1" si="4"/>
        <v>-4.0856935896559179</v>
      </c>
      <c r="G15" s="6">
        <f t="shared" ca="1" si="5"/>
        <v>-5447591.4528745571</v>
      </c>
      <c r="L15" s="9"/>
    </row>
    <row r="16" spans="1:12" x14ac:dyDescent="0.45">
      <c r="A16">
        <v>4</v>
      </c>
      <c r="B16">
        <f t="shared" ca="1" si="0"/>
        <v>79.975069931586759</v>
      </c>
      <c r="C16">
        <f t="shared" ca="1" si="1"/>
        <v>75.765855724661151</v>
      </c>
      <c r="D16">
        <f t="shared" ca="1" si="2"/>
        <v>4.2092142069256084</v>
      </c>
      <c r="E16" s="6">
        <f t="shared" ca="1" si="3"/>
        <v>5612285.609234144</v>
      </c>
      <c r="F16">
        <f t="shared" ca="1" si="4"/>
        <v>-4.2341442753388492</v>
      </c>
      <c r="G16" s="6">
        <f t="shared" ca="1" si="5"/>
        <v>-5645525.7004517987</v>
      </c>
      <c r="I16" t="s">
        <v>64</v>
      </c>
      <c r="L16" s="9"/>
    </row>
    <row r="17" spans="1:12" x14ac:dyDescent="0.45">
      <c r="A17">
        <v>5</v>
      </c>
      <c r="B17">
        <f t="shared" ca="1" si="0"/>
        <v>80.068826670377931</v>
      </c>
      <c r="C17">
        <f t="shared" ca="1" si="1"/>
        <v>75.854677898252774</v>
      </c>
      <c r="D17">
        <f t="shared" ca="1" si="2"/>
        <v>4.2141487721251565</v>
      </c>
      <c r="E17" s="6">
        <f t="shared" ca="1" si="3"/>
        <v>5618865.0295002079</v>
      </c>
      <c r="F17">
        <f t="shared" ca="1" si="4"/>
        <v>-4.1453221017472259</v>
      </c>
      <c r="G17" s="6">
        <f t="shared" ca="1" si="5"/>
        <v>-5527096.1356629673</v>
      </c>
      <c r="L17" s="9"/>
    </row>
    <row r="18" spans="1:12" x14ac:dyDescent="0.45">
      <c r="A18">
        <v>6</v>
      </c>
      <c r="B18">
        <f t="shared" ca="1" si="0"/>
        <v>79.879877396086712</v>
      </c>
      <c r="C18">
        <f t="shared" ca="1" si="1"/>
        <v>75.675673322608475</v>
      </c>
      <c r="D18">
        <f t="shared" ca="1" si="2"/>
        <v>4.2042040734782375</v>
      </c>
      <c r="E18" s="6">
        <f t="shared" ca="1" si="3"/>
        <v>5605605.431304316</v>
      </c>
      <c r="F18">
        <f t="shared" ca="1" si="4"/>
        <v>-4.3243266773915252</v>
      </c>
      <c r="G18" s="6">
        <f t="shared" ca="1" si="5"/>
        <v>-5765768.9031886999</v>
      </c>
      <c r="L18" s="9"/>
    </row>
    <row r="19" spans="1:12" x14ac:dyDescent="0.45">
      <c r="A19">
        <v>7</v>
      </c>
      <c r="B19">
        <f t="shared" ca="1" si="0"/>
        <v>79.824400253516217</v>
      </c>
      <c r="C19">
        <f t="shared" ca="1" si="1"/>
        <v>75.623116029646951</v>
      </c>
      <c r="D19">
        <f t="shared" ca="1" si="2"/>
        <v>4.2012842238692656</v>
      </c>
      <c r="E19" s="6">
        <f t="shared" ca="1" si="3"/>
        <v>5601712.2984923534</v>
      </c>
      <c r="F19">
        <f t="shared" ca="1" si="4"/>
        <v>-4.3768839703530489</v>
      </c>
      <c r="G19" s="6">
        <f t="shared" ca="1" si="5"/>
        <v>-5835845.2938040644</v>
      </c>
      <c r="L19" s="9"/>
    </row>
    <row r="20" spans="1:12" x14ac:dyDescent="0.45">
      <c r="A20">
        <v>8</v>
      </c>
      <c r="B20">
        <f t="shared" ca="1" si="0"/>
        <v>80.530518608112502</v>
      </c>
      <c r="C20">
        <f t="shared" ca="1" si="1"/>
        <v>76.292070260317118</v>
      </c>
      <c r="D20">
        <f t="shared" ca="1" si="2"/>
        <v>4.2384483477953836</v>
      </c>
      <c r="E20" s="6">
        <f t="shared" ca="1" si="3"/>
        <v>5651264.4637271781</v>
      </c>
      <c r="F20">
        <f t="shared" ca="1" si="4"/>
        <v>-3.7079297396828821</v>
      </c>
      <c r="G20" s="6">
        <f t="shared" ca="1" si="5"/>
        <v>-4943906.3195771761</v>
      </c>
      <c r="L20" s="9"/>
    </row>
    <row r="21" spans="1:12" x14ac:dyDescent="0.45">
      <c r="A21">
        <v>9</v>
      </c>
      <c r="B21">
        <f t="shared" ca="1" si="0"/>
        <v>79.575314945282983</v>
      </c>
      <c r="C21">
        <f t="shared" ca="1" si="1"/>
        <v>75.387140474478613</v>
      </c>
      <c r="D21">
        <f t="shared" ca="1" si="2"/>
        <v>4.1881744708043698</v>
      </c>
      <c r="E21" s="6">
        <f t="shared" ca="1" si="3"/>
        <v>5584232.6277391594</v>
      </c>
      <c r="F21">
        <f t="shared" ca="1" si="4"/>
        <v>-4.6128595255213867</v>
      </c>
      <c r="G21" s="6">
        <f t="shared" ca="1" si="5"/>
        <v>-6150479.3673618482</v>
      </c>
      <c r="L21" s="9"/>
    </row>
    <row r="22" spans="1:12" x14ac:dyDescent="0.45">
      <c r="A22">
        <v>10</v>
      </c>
      <c r="B22">
        <f t="shared" ca="1" si="0"/>
        <v>80.009576033554126</v>
      </c>
      <c r="C22">
        <f t="shared" ca="1" si="1"/>
        <v>75.798545715998657</v>
      </c>
      <c r="D22">
        <f t="shared" ca="1" si="2"/>
        <v>4.2110303175554691</v>
      </c>
      <c r="E22" s="6">
        <f t="shared" ca="1" si="3"/>
        <v>5614707.090073958</v>
      </c>
      <c r="F22">
        <f t="shared" ca="1" si="4"/>
        <v>-4.2014542840013434</v>
      </c>
      <c r="G22" s="6">
        <f t="shared" ca="1" si="5"/>
        <v>-5601939.0453351242</v>
      </c>
      <c r="L22" s="9"/>
    </row>
    <row r="23" spans="1:12" x14ac:dyDescent="0.45">
      <c r="A23">
        <v>11</v>
      </c>
      <c r="B23">
        <f t="shared" ca="1" si="0"/>
        <v>80.211509404185804</v>
      </c>
      <c r="C23">
        <f t="shared" ca="1" si="1"/>
        <v>75.989851014491819</v>
      </c>
      <c r="D23">
        <f t="shared" ca="1" si="2"/>
        <v>4.2216583896939852</v>
      </c>
      <c r="E23" s="6">
        <f ca="1">D23*$B$8</f>
        <v>5628877.8529253136</v>
      </c>
      <c r="F23">
        <f t="shared" ca="1" si="4"/>
        <v>-4.0101489855081809</v>
      </c>
      <c r="G23" s="6">
        <f t="shared" ca="1" si="5"/>
        <v>-5346865.3140109079</v>
      </c>
      <c r="L23" s="9"/>
    </row>
    <row r="24" spans="1:12" x14ac:dyDescent="0.45">
      <c r="A24">
        <v>12</v>
      </c>
      <c r="B24">
        <f t="shared" ca="1" si="0"/>
        <v>79.972746332330445</v>
      </c>
      <c r="C24">
        <f t="shared" ca="1" si="1"/>
        <v>75.763654420102526</v>
      </c>
      <c r="D24">
        <f t="shared" ca="1" si="2"/>
        <v>4.2090919122279189</v>
      </c>
      <c r="E24" s="11">
        <f t="shared" ca="1" si="3"/>
        <v>5612122.5496372245</v>
      </c>
      <c r="F24">
        <f t="shared" ca="1" si="4"/>
        <v>-4.2363455798974741</v>
      </c>
      <c r="G24" s="11">
        <f t="shared" ca="1" si="5"/>
        <v>-5648460.773196632</v>
      </c>
      <c r="K24" s="10"/>
      <c r="L24" s="9"/>
    </row>
    <row r="25" spans="1:12" x14ac:dyDescent="0.45">
      <c r="A25" t="s">
        <v>119</v>
      </c>
      <c r="E25" s="12">
        <f ca="1">SUM(E13:E24)</f>
        <v>67337534.082276687</v>
      </c>
      <c r="G25" s="12">
        <f ca="1">SUM(G13:G24)</f>
        <v>-67924386.519018158</v>
      </c>
    </row>
    <row r="28" spans="1:12" x14ac:dyDescent="0.45">
      <c r="G28" t="s">
        <v>60</v>
      </c>
      <c r="H28" s="9">
        <f ca="1">E25+G25</f>
        <v>-586852.43674147129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53F19-2C48-4D9F-9157-8AAC3763DD0C}">
  <dimension ref="A2:G36"/>
  <sheetViews>
    <sheetView zoomScale="66" workbookViewId="0">
      <selection activeCell="C35" sqref="C35"/>
    </sheetView>
  </sheetViews>
  <sheetFormatPr defaultRowHeight="14.25" x14ac:dyDescent="0.45"/>
  <cols>
    <col min="1" max="1" width="18.19921875" customWidth="1"/>
    <col min="2" max="2" width="17.19921875" bestFit="1" customWidth="1"/>
    <col min="3" max="3" width="15.59765625" customWidth="1"/>
    <col min="4" max="4" width="19.06640625" customWidth="1"/>
    <col min="5" max="5" width="16.86328125" customWidth="1"/>
    <col min="6" max="6" width="17.1328125" customWidth="1"/>
    <col min="7" max="7" width="17.6640625" customWidth="1"/>
  </cols>
  <sheetData>
    <row r="2" spans="1:7" x14ac:dyDescent="0.45">
      <c r="A2" t="s">
        <v>65</v>
      </c>
      <c r="B2">
        <f ca="1">AVERAGE('StacknRoll Strategy Analysis'!D13:D24)</f>
        <v>4.2085958801422931</v>
      </c>
    </row>
    <row r="3" spans="1:7" x14ac:dyDescent="0.45">
      <c r="A3" t="s">
        <v>19</v>
      </c>
      <c r="B3">
        <f>160000000/120</f>
        <v>1333333.3333333333</v>
      </c>
    </row>
    <row r="4" spans="1:7" x14ac:dyDescent="0.45">
      <c r="A4" t="s">
        <v>20</v>
      </c>
      <c r="B4">
        <v>12</v>
      </c>
      <c r="G4" s="9"/>
    </row>
    <row r="5" spans="1:7" x14ac:dyDescent="0.45">
      <c r="A5" t="s">
        <v>21</v>
      </c>
      <c r="B5">
        <v>12</v>
      </c>
      <c r="D5" s="9"/>
    </row>
    <row r="6" spans="1:7" x14ac:dyDescent="0.45">
      <c r="A6" t="s">
        <v>37</v>
      </c>
      <c r="B6" s="9">
        <f ca="1">'Loss At Risk Analysis'!F12</f>
        <v>-5990037.1268035807</v>
      </c>
    </row>
    <row r="7" spans="1:7" x14ac:dyDescent="0.45">
      <c r="A7" t="s">
        <v>68</v>
      </c>
      <c r="B7" s="6">
        <f>1000000000/120</f>
        <v>8333333.333333333</v>
      </c>
      <c r="D7" s="9"/>
      <c r="F7" s="9"/>
    </row>
    <row r="8" spans="1:7" x14ac:dyDescent="0.45">
      <c r="A8" t="s">
        <v>66</v>
      </c>
      <c r="B8">
        <v>0.08</v>
      </c>
      <c r="F8" s="9"/>
    </row>
    <row r="9" spans="1:7" x14ac:dyDescent="0.45">
      <c r="A9" t="s">
        <v>67</v>
      </c>
      <c r="B9">
        <v>0.05</v>
      </c>
      <c r="F9" s="9"/>
    </row>
    <row r="10" spans="1:7" x14ac:dyDescent="0.45">
      <c r="A10" t="s">
        <v>19</v>
      </c>
      <c r="B10">
        <f>1333333</f>
        <v>1333333</v>
      </c>
    </row>
    <row r="11" spans="1:7" x14ac:dyDescent="0.45">
      <c r="A11" t="s">
        <v>69</v>
      </c>
      <c r="B11">
        <f>B8/12</f>
        <v>6.6666666666666671E-3</v>
      </c>
      <c r="E11" t="s">
        <v>122</v>
      </c>
    </row>
    <row r="13" spans="1:7" x14ac:dyDescent="0.45">
      <c r="D13" s="9"/>
    </row>
    <row r="14" spans="1:7" x14ac:dyDescent="0.45">
      <c r="A14" t="s">
        <v>70</v>
      </c>
      <c r="B14" t="s">
        <v>71</v>
      </c>
      <c r="C14" t="s">
        <v>72</v>
      </c>
      <c r="D14" t="s">
        <v>121</v>
      </c>
      <c r="E14" s="9" t="s">
        <v>114</v>
      </c>
      <c r="F14" t="s">
        <v>73</v>
      </c>
      <c r="G14" t="s">
        <v>74</v>
      </c>
    </row>
    <row r="15" spans="1:7" x14ac:dyDescent="0.45">
      <c r="A15">
        <v>0</v>
      </c>
      <c r="B15" s="6">
        <f ca="1">A15*$B$2*$B$10*$B$5</f>
        <v>0</v>
      </c>
      <c r="C15" s="9">
        <f ca="1">A15*$B$6</f>
        <v>0</v>
      </c>
      <c r="D15" s="9">
        <f ca="1">B15*$B$6</f>
        <v>0</v>
      </c>
      <c r="E15" s="9">
        <f t="shared" ref="E15:E35" ca="1" si="0">MAX(0,(-C15+-B15)-$B$7)</f>
        <v>0</v>
      </c>
      <c r="F15" s="9">
        <f ca="1">E15*$B$11*$B$5</f>
        <v>0</v>
      </c>
      <c r="G15" s="9">
        <f ca="1">B15-F15</f>
        <v>0</v>
      </c>
    </row>
    <row r="16" spans="1:7" x14ac:dyDescent="0.45">
      <c r="A16">
        <f>A15+$B$9</f>
        <v>0.05</v>
      </c>
      <c r="B16" s="6">
        <f ca="1">A16*$B$2*$B$10</f>
        <v>280572.98853288824</v>
      </c>
      <c r="C16" s="9">
        <f ca="1">A16*$B$6</f>
        <v>-299501.85634017905</v>
      </c>
      <c r="D16" s="9">
        <f>$D$3*$B$10*A16</f>
        <v>0</v>
      </c>
      <c r="E16" s="9">
        <f t="shared" ca="1" si="0"/>
        <v>0</v>
      </c>
      <c r="F16" s="9">
        <f t="shared" ref="F16:F35" ca="1" si="1">E16*$B$11*$B$5</f>
        <v>0</v>
      </c>
      <c r="G16" s="9">
        <f ca="1">B16-F16+C16+D16</f>
        <v>-18928.867807290808</v>
      </c>
    </row>
    <row r="17" spans="1:7" x14ac:dyDescent="0.45">
      <c r="A17">
        <f t="shared" ref="A17:A35" si="2">A16+$B$9</f>
        <v>0.1</v>
      </c>
      <c r="B17" s="6">
        <f t="shared" ref="B17:B34" ca="1" si="3">A17*$B$2*$B$10</f>
        <v>561145.97706577647</v>
      </c>
      <c r="C17" s="9">
        <f t="shared" ref="C17:C34" ca="1" si="4">A17*$B$6</f>
        <v>-599003.71268035809</v>
      </c>
      <c r="D17" s="9">
        <f t="shared" ref="D17:D35" si="5">$D$3*$B$10*A17</f>
        <v>0</v>
      </c>
      <c r="E17" s="9">
        <f t="shared" ca="1" si="0"/>
        <v>0</v>
      </c>
      <c r="F17" s="9">
        <f t="shared" ca="1" si="1"/>
        <v>0</v>
      </c>
      <c r="G17" s="9">
        <f t="shared" ref="G17:G35" ca="1" si="6">B17-F17+C17+D17</f>
        <v>-37857.735614581616</v>
      </c>
    </row>
    <row r="18" spans="1:7" x14ac:dyDescent="0.45">
      <c r="A18">
        <f t="shared" si="2"/>
        <v>0.15000000000000002</v>
      </c>
      <c r="B18" s="6">
        <f t="shared" ca="1" si="3"/>
        <v>841718.96559866483</v>
      </c>
      <c r="C18" s="9">
        <f t="shared" ca="1" si="4"/>
        <v>-898505.56902053719</v>
      </c>
      <c r="D18" s="9">
        <f t="shared" si="5"/>
        <v>0</v>
      </c>
      <c r="E18" s="9">
        <f t="shared" ca="1" si="0"/>
        <v>0</v>
      </c>
      <c r="F18" s="9">
        <f t="shared" ca="1" si="1"/>
        <v>0</v>
      </c>
      <c r="G18" s="9">
        <f t="shared" ca="1" si="6"/>
        <v>-56786.603421872365</v>
      </c>
    </row>
    <row r="19" spans="1:7" x14ac:dyDescent="0.45">
      <c r="A19">
        <f t="shared" si="2"/>
        <v>0.2</v>
      </c>
      <c r="B19" s="6">
        <f t="shared" ca="1" si="3"/>
        <v>1122291.9541315529</v>
      </c>
      <c r="C19" s="9">
        <f t="shared" ca="1" si="4"/>
        <v>-1198007.4253607162</v>
      </c>
      <c r="D19" s="9">
        <f t="shared" si="5"/>
        <v>0</v>
      </c>
      <c r="E19" s="9">
        <f t="shared" ca="1" si="0"/>
        <v>0</v>
      </c>
      <c r="F19" s="9">
        <f t="shared" ca="1" si="1"/>
        <v>0</v>
      </c>
      <c r="G19" s="9">
        <f t="shared" ca="1" si="6"/>
        <v>-75715.471229163231</v>
      </c>
    </row>
    <row r="20" spans="1:7" x14ac:dyDescent="0.45">
      <c r="A20">
        <f t="shared" si="2"/>
        <v>0.25</v>
      </c>
      <c r="B20" s="6">
        <f t="shared" ca="1" si="3"/>
        <v>1402864.942664441</v>
      </c>
      <c r="C20" s="9">
        <f t="shared" ca="1" si="4"/>
        <v>-1497509.2817008952</v>
      </c>
      <c r="D20" s="9">
        <f t="shared" si="5"/>
        <v>0</v>
      </c>
      <c r="E20" s="9">
        <f t="shared" ca="1" si="0"/>
        <v>0</v>
      </c>
      <c r="F20" s="9">
        <f t="shared" ca="1" si="1"/>
        <v>0</v>
      </c>
      <c r="G20" s="9">
        <f t="shared" ca="1" si="6"/>
        <v>-94644.339036454214</v>
      </c>
    </row>
    <row r="21" spans="1:7" x14ac:dyDescent="0.45">
      <c r="A21">
        <f t="shared" si="2"/>
        <v>0.3</v>
      </c>
      <c r="B21" s="6">
        <f t="shared" ca="1" si="3"/>
        <v>1683437.9311973292</v>
      </c>
      <c r="C21" s="9">
        <f t="shared" ca="1" si="4"/>
        <v>-1797011.1380410742</v>
      </c>
      <c r="D21" s="9">
        <f t="shared" si="5"/>
        <v>0</v>
      </c>
      <c r="E21" s="9">
        <f t="shared" ca="1" si="0"/>
        <v>0</v>
      </c>
      <c r="F21" s="9">
        <f t="shared" ca="1" si="1"/>
        <v>0</v>
      </c>
      <c r="G21" s="9">
        <f t="shared" ca="1" si="6"/>
        <v>-113573.20684374496</v>
      </c>
    </row>
    <row r="22" spans="1:7" x14ac:dyDescent="0.45">
      <c r="A22">
        <f t="shared" si="2"/>
        <v>0.35</v>
      </c>
      <c r="B22" s="6">
        <f t="shared" ca="1" si="3"/>
        <v>1964010.9197302172</v>
      </c>
      <c r="C22" s="9">
        <f t="shared" ca="1" si="4"/>
        <v>-2096512.9943812531</v>
      </c>
      <c r="D22" s="9">
        <f t="shared" si="5"/>
        <v>0</v>
      </c>
      <c r="E22" s="9">
        <f t="shared" ca="1" si="0"/>
        <v>0</v>
      </c>
      <c r="F22" s="9">
        <f t="shared" ca="1" si="1"/>
        <v>0</v>
      </c>
      <c r="G22" s="9">
        <f t="shared" ca="1" si="6"/>
        <v>-132502.07465103595</v>
      </c>
    </row>
    <row r="23" spans="1:7" x14ac:dyDescent="0.45">
      <c r="A23">
        <f t="shared" si="2"/>
        <v>0.39999999999999997</v>
      </c>
      <c r="B23" s="6">
        <f t="shared" ca="1" si="3"/>
        <v>2244583.9082631054</v>
      </c>
      <c r="C23" s="9">
        <f t="shared" ca="1" si="4"/>
        <v>-2396014.8507214319</v>
      </c>
      <c r="D23" s="9">
        <f t="shared" si="5"/>
        <v>0</v>
      </c>
      <c r="E23" s="9">
        <f t="shared" ca="1" si="0"/>
        <v>0</v>
      </c>
      <c r="F23" s="9">
        <f t="shared" ca="1" si="1"/>
        <v>0</v>
      </c>
      <c r="G23" s="9">
        <f t="shared" ca="1" si="6"/>
        <v>-151430.94245832646</v>
      </c>
    </row>
    <row r="24" spans="1:7" x14ac:dyDescent="0.45">
      <c r="A24">
        <f t="shared" si="2"/>
        <v>0.44999999999999996</v>
      </c>
      <c r="B24" s="6">
        <f t="shared" ca="1" si="3"/>
        <v>2525156.8967959937</v>
      </c>
      <c r="C24" s="9">
        <f t="shared" ca="1" si="4"/>
        <v>-2695516.7070616111</v>
      </c>
      <c r="D24" s="9">
        <f t="shared" si="5"/>
        <v>0</v>
      </c>
      <c r="E24" s="9">
        <f t="shared" ca="1" si="0"/>
        <v>0</v>
      </c>
      <c r="F24" s="9">
        <f t="shared" ca="1" si="1"/>
        <v>0</v>
      </c>
      <c r="G24" s="9">
        <f t="shared" ca="1" si="6"/>
        <v>-170359.81026561745</v>
      </c>
    </row>
    <row r="25" spans="1:7" x14ac:dyDescent="0.45">
      <c r="A25">
        <f>A24+$B$9</f>
        <v>0.49999999999999994</v>
      </c>
      <c r="B25" s="6">
        <f t="shared" ca="1" si="3"/>
        <v>2805729.8853288814</v>
      </c>
      <c r="C25" s="9">
        <f t="shared" ca="1" si="4"/>
        <v>-2995018.5634017899</v>
      </c>
      <c r="D25" s="9">
        <f t="shared" si="5"/>
        <v>0</v>
      </c>
      <c r="E25" s="9">
        <f t="shared" ca="1" si="0"/>
        <v>0</v>
      </c>
      <c r="F25" s="9">
        <f t="shared" ca="1" si="1"/>
        <v>0</v>
      </c>
      <c r="G25" s="9">
        <f t="shared" ca="1" si="6"/>
        <v>-189288.67807290843</v>
      </c>
    </row>
    <row r="26" spans="1:7" x14ac:dyDescent="0.45">
      <c r="A26">
        <f t="shared" si="2"/>
        <v>0.54999999999999993</v>
      </c>
      <c r="B26" s="6">
        <f t="shared" ca="1" si="3"/>
        <v>3086302.8738617697</v>
      </c>
      <c r="C26" s="9">
        <f t="shared" ca="1" si="4"/>
        <v>-3294520.4197419691</v>
      </c>
      <c r="D26" s="9">
        <f t="shared" si="5"/>
        <v>0</v>
      </c>
      <c r="E26" s="9">
        <f t="shared" ca="1" si="0"/>
        <v>0</v>
      </c>
      <c r="F26" s="9">
        <f t="shared" ca="1" si="1"/>
        <v>0</v>
      </c>
      <c r="G26" s="9">
        <f t="shared" ca="1" si="6"/>
        <v>-208217.54588019941</v>
      </c>
    </row>
    <row r="27" spans="1:7" x14ac:dyDescent="0.45">
      <c r="A27">
        <f t="shared" si="2"/>
        <v>0.6</v>
      </c>
      <c r="B27" s="6">
        <f t="shared" ca="1" si="3"/>
        <v>3366875.8623946584</v>
      </c>
      <c r="C27" s="9">
        <f t="shared" ca="1" si="4"/>
        <v>-3594022.2760821483</v>
      </c>
      <c r="D27" s="9">
        <f t="shared" si="5"/>
        <v>0</v>
      </c>
      <c r="E27" s="9">
        <f t="shared" ca="1" si="0"/>
        <v>0</v>
      </c>
      <c r="F27" s="9">
        <f t="shared" ca="1" si="1"/>
        <v>0</v>
      </c>
      <c r="G27" s="9">
        <f t="shared" ca="1" si="6"/>
        <v>-227146.41368748993</v>
      </c>
    </row>
    <row r="28" spans="1:7" x14ac:dyDescent="0.45">
      <c r="A28">
        <f t="shared" si="2"/>
        <v>0.65</v>
      </c>
      <c r="B28" s="6">
        <f t="shared" ca="1" si="3"/>
        <v>3647448.8509275471</v>
      </c>
      <c r="C28" s="9">
        <f t="shared" ca="1" si="4"/>
        <v>-3893524.1324223275</v>
      </c>
      <c r="D28" s="9">
        <f t="shared" si="5"/>
        <v>0</v>
      </c>
      <c r="E28" s="9">
        <f t="shared" ca="1" si="0"/>
        <v>0</v>
      </c>
      <c r="F28" s="9">
        <f t="shared" ca="1" si="1"/>
        <v>0</v>
      </c>
      <c r="G28" s="9">
        <f t="shared" ca="1" si="6"/>
        <v>-246075.28149478044</v>
      </c>
    </row>
    <row r="29" spans="1:7" x14ac:dyDescent="0.45">
      <c r="A29">
        <f t="shared" si="2"/>
        <v>0.70000000000000007</v>
      </c>
      <c r="B29" s="6">
        <f t="shared" ca="1" si="3"/>
        <v>3928021.8394604353</v>
      </c>
      <c r="C29" s="9">
        <f t="shared" ca="1" si="4"/>
        <v>-4193025.9887625067</v>
      </c>
      <c r="D29" s="9">
        <f t="shared" si="5"/>
        <v>0</v>
      </c>
      <c r="E29" s="9">
        <f t="shared" ca="1" si="0"/>
        <v>0</v>
      </c>
      <c r="F29" s="9">
        <f t="shared" ca="1" si="1"/>
        <v>0</v>
      </c>
      <c r="G29" s="9">
        <f t="shared" ca="1" si="6"/>
        <v>-265004.14930207143</v>
      </c>
    </row>
    <row r="30" spans="1:7" x14ac:dyDescent="0.45">
      <c r="A30">
        <f t="shared" si="2"/>
        <v>0.75000000000000011</v>
      </c>
      <c r="B30" s="6">
        <f t="shared" ca="1" si="3"/>
        <v>4208594.827993324</v>
      </c>
      <c r="C30" s="9">
        <f t="shared" ca="1" si="4"/>
        <v>-4492527.8451026864</v>
      </c>
      <c r="D30" s="9">
        <f t="shared" si="5"/>
        <v>0</v>
      </c>
      <c r="E30" s="9">
        <f t="shared" ca="1" si="0"/>
        <v>0</v>
      </c>
      <c r="F30" s="9">
        <f t="shared" ca="1" si="1"/>
        <v>0</v>
      </c>
      <c r="G30" s="9">
        <f t="shared" ca="1" si="6"/>
        <v>-283933.01710936241</v>
      </c>
    </row>
    <row r="31" spans="1:7" x14ac:dyDescent="0.45">
      <c r="A31">
        <f>A30+$B$9</f>
        <v>0.80000000000000016</v>
      </c>
      <c r="B31" s="6">
        <f t="shared" ca="1" si="3"/>
        <v>4489167.8165262118</v>
      </c>
      <c r="C31" s="9">
        <f t="shared" ca="1" si="4"/>
        <v>-4792029.7014428657</v>
      </c>
      <c r="D31" s="9">
        <f t="shared" si="5"/>
        <v>0</v>
      </c>
      <c r="E31" s="9">
        <f t="shared" ca="1" si="0"/>
        <v>0</v>
      </c>
      <c r="F31" s="9">
        <f t="shared" ca="1" si="1"/>
        <v>0</v>
      </c>
      <c r="G31" s="9">
        <f t="shared" ca="1" si="6"/>
        <v>-302861.88491665386</v>
      </c>
    </row>
    <row r="32" spans="1:7" x14ac:dyDescent="0.45">
      <c r="A32">
        <f t="shared" si="2"/>
        <v>0.8500000000000002</v>
      </c>
      <c r="B32" s="6">
        <f t="shared" ca="1" si="3"/>
        <v>4769740.8050591005</v>
      </c>
      <c r="C32" s="9">
        <f t="shared" ca="1" si="4"/>
        <v>-5091531.5577830449</v>
      </c>
      <c r="D32" s="9">
        <f t="shared" si="5"/>
        <v>0</v>
      </c>
      <c r="E32" s="9">
        <f t="shared" ca="1" si="0"/>
        <v>0</v>
      </c>
      <c r="F32" s="9">
        <f t="shared" ca="1" si="1"/>
        <v>0</v>
      </c>
      <c r="G32" s="9">
        <f t="shared" ca="1" si="6"/>
        <v>-321790.75272394437</v>
      </c>
    </row>
    <row r="33" spans="1:7" x14ac:dyDescent="0.45">
      <c r="A33">
        <f t="shared" si="2"/>
        <v>0.90000000000000024</v>
      </c>
      <c r="B33" s="6">
        <f t="shared" ca="1" si="3"/>
        <v>5050313.7935919892</v>
      </c>
      <c r="C33" s="9">
        <f t="shared" ca="1" si="4"/>
        <v>-5391033.4141232241</v>
      </c>
      <c r="D33" s="9">
        <f t="shared" si="5"/>
        <v>0</v>
      </c>
      <c r="E33" s="9">
        <f t="shared" ca="1" si="0"/>
        <v>0</v>
      </c>
      <c r="F33" s="9">
        <f t="shared" ca="1" si="1"/>
        <v>0</v>
      </c>
      <c r="G33" s="9">
        <f t="shared" ca="1" si="6"/>
        <v>-340719.62053123489</v>
      </c>
    </row>
    <row r="34" spans="1:7" x14ac:dyDescent="0.45">
      <c r="A34">
        <f t="shared" si="2"/>
        <v>0.95000000000000029</v>
      </c>
      <c r="B34" s="6">
        <f t="shared" ca="1" si="3"/>
        <v>5330886.7821248779</v>
      </c>
      <c r="C34" s="9">
        <f t="shared" ca="1" si="4"/>
        <v>-5690535.2704634033</v>
      </c>
      <c r="D34" s="9">
        <f t="shared" si="5"/>
        <v>0</v>
      </c>
      <c r="E34" s="9">
        <f t="shared" ca="1" si="0"/>
        <v>0</v>
      </c>
      <c r="F34" s="9">
        <f t="shared" ca="1" si="1"/>
        <v>0</v>
      </c>
      <c r="G34" s="9">
        <f t="shared" ca="1" si="6"/>
        <v>-359648.48833852541</v>
      </c>
    </row>
    <row r="35" spans="1:7" x14ac:dyDescent="0.45">
      <c r="A35">
        <f t="shared" si="2"/>
        <v>1.0000000000000002</v>
      </c>
      <c r="B35" s="14">
        <f ca="1">A35*$B$2*$B$10</f>
        <v>5611459.7706577657</v>
      </c>
      <c r="C35" s="12">
        <f ca="1">A35*$B$6</f>
        <v>-5990037.1268035816</v>
      </c>
      <c r="D35" s="9">
        <f t="shared" si="5"/>
        <v>0</v>
      </c>
      <c r="E35" s="9">
        <f t="shared" ca="1" si="0"/>
        <v>0</v>
      </c>
      <c r="F35" s="9">
        <f t="shared" ca="1" si="1"/>
        <v>0</v>
      </c>
      <c r="G35" s="9">
        <f ca="1">B35-F35+C35+D35</f>
        <v>-378577.35614581592</v>
      </c>
    </row>
    <row r="36" spans="1:7" x14ac:dyDescent="0.45">
      <c r="F36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C6885-DDF6-4ED2-AC40-CE7E56C2F336}">
  <dimension ref="B6:W42"/>
  <sheetViews>
    <sheetView tabSelected="1" zoomScale="35" workbookViewId="0">
      <selection activeCell="AA29" sqref="AA29"/>
    </sheetView>
  </sheetViews>
  <sheetFormatPr defaultRowHeight="14.25" x14ac:dyDescent="0.45"/>
  <cols>
    <col min="2" max="2" width="9.86328125" customWidth="1"/>
    <col min="3" max="3" width="16.9296875" customWidth="1"/>
    <col min="4" max="4" width="18.265625" customWidth="1"/>
    <col min="5" max="5" width="18.6640625" customWidth="1"/>
    <col min="6" max="6" width="18.46484375" customWidth="1"/>
    <col min="7" max="8" width="17.86328125" customWidth="1"/>
    <col min="9" max="9" width="17.53125" customWidth="1"/>
    <col min="10" max="10" width="16.3984375" customWidth="1"/>
    <col min="11" max="11" width="17.33203125" customWidth="1"/>
    <col min="12" max="12" width="16.796875" customWidth="1"/>
    <col min="13" max="13" width="16.33203125" customWidth="1"/>
    <col min="14" max="14" width="16.53125" customWidth="1"/>
    <col min="15" max="15" width="17.46484375" customWidth="1"/>
    <col min="16" max="16" width="17.53125" customWidth="1"/>
    <col min="17" max="17" width="17.46484375" customWidth="1"/>
    <col min="18" max="18" width="16.265625" customWidth="1"/>
    <col min="19" max="19" width="16.06640625" customWidth="1"/>
    <col min="20" max="20" width="16.1328125" customWidth="1"/>
    <col min="21" max="21" width="18.1328125" customWidth="1"/>
    <col min="22" max="22" width="17" customWidth="1"/>
    <col min="23" max="23" width="16.3984375" customWidth="1"/>
  </cols>
  <sheetData>
    <row r="6" spans="2:23" x14ac:dyDescent="0.45">
      <c r="E6" t="s">
        <v>111</v>
      </c>
      <c r="F6">
        <v>1333333.33</v>
      </c>
    </row>
    <row r="14" spans="2:23" x14ac:dyDescent="0.45">
      <c r="C14" s="16" t="s">
        <v>75</v>
      </c>
      <c r="D14" s="16"/>
      <c r="E14" s="16"/>
      <c r="F14" s="16"/>
      <c r="G14" s="16"/>
      <c r="H14" s="16"/>
      <c r="I14" s="16"/>
      <c r="J14" s="16"/>
      <c r="K14" s="16"/>
      <c r="L14" s="16"/>
      <c r="M14" s="13" t="s">
        <v>51</v>
      </c>
      <c r="N14" s="17" t="s">
        <v>100</v>
      </c>
      <c r="O14" s="17"/>
      <c r="P14" s="17"/>
      <c r="Q14" s="17"/>
      <c r="R14" s="17"/>
      <c r="S14" s="17"/>
      <c r="T14" s="17"/>
      <c r="U14" s="17"/>
      <c r="V14" s="17"/>
      <c r="W14" s="17"/>
    </row>
    <row r="15" spans="2:23" x14ac:dyDescent="0.45">
      <c r="B15" t="s">
        <v>77</v>
      </c>
      <c r="C15" t="s">
        <v>78</v>
      </c>
      <c r="D15" t="s">
        <v>79</v>
      </c>
      <c r="E15" t="s">
        <v>80</v>
      </c>
      <c r="F15" t="s">
        <v>81</v>
      </c>
      <c r="G15" t="s">
        <v>82</v>
      </c>
      <c r="H15" t="s">
        <v>83</v>
      </c>
      <c r="I15" t="s">
        <v>84</v>
      </c>
      <c r="J15" t="s">
        <v>85</v>
      </c>
      <c r="K15" t="s">
        <v>86</v>
      </c>
      <c r="L15" t="s">
        <v>87</v>
      </c>
      <c r="M15" t="s">
        <v>88</v>
      </c>
      <c r="N15" t="s">
        <v>89</v>
      </c>
      <c r="O15" t="s">
        <v>90</v>
      </c>
      <c r="P15" t="s">
        <v>91</v>
      </c>
      <c r="Q15" t="s">
        <v>92</v>
      </c>
      <c r="R15" t="s">
        <v>93</v>
      </c>
      <c r="S15" t="s">
        <v>94</v>
      </c>
      <c r="T15" t="s">
        <v>95</v>
      </c>
      <c r="U15" t="s">
        <v>96</v>
      </c>
      <c r="V15" t="s">
        <v>97</v>
      </c>
      <c r="W15" t="s">
        <v>98</v>
      </c>
    </row>
    <row r="16" spans="2:23" x14ac:dyDescent="0.45">
      <c r="B16">
        <v>0.05</v>
      </c>
      <c r="C16" s="9">
        <f ca="1">('StacknRoll Strategy Analysis'!$B$2-'Sensitivity Table'!C15)*$F$6+('Hedge Ratio Analysis'!$G$16-'Hedge Ratio Analysis'!$E$16)</f>
        <v>6647737.7821927099</v>
      </c>
      <c r="D16" s="9">
        <f ca="1">('StacknRoll Strategy Analysis'!$B$2-'Sensitivity Table'!D15)*$F$6+('Hedge Ratio Analysis'!$G$16-'Hedge Ratio Analysis'!$E$16)</f>
        <v>5981071.1171927098</v>
      </c>
      <c r="E16" s="9">
        <f ca="1">('StacknRoll Strategy Analysis'!$B$2-'Sensitivity Table'!E15)*$F$6+('Hedge Ratio Analysis'!$G$16-'Hedge Ratio Analysis'!$E$16)</f>
        <v>5314404.4521927098</v>
      </c>
      <c r="F16" s="9">
        <f ca="1">('StacknRoll Strategy Analysis'!$B$2-'Sensitivity Table'!F15)*$F$6+('Hedge Ratio Analysis'!$G$16-'Hedge Ratio Analysis'!$E$16)</f>
        <v>4647737.7871927097</v>
      </c>
      <c r="G16" s="9">
        <f ca="1">('StacknRoll Strategy Analysis'!$B$2-'Sensitivity Table'!G15)*$F$6+('Hedge Ratio Analysis'!$G$16-'Hedge Ratio Analysis'!$E$16)</f>
        <v>3981071.1221927092</v>
      </c>
      <c r="H16" s="9">
        <f ca="1">('StacknRoll Strategy Analysis'!$B$2-'Sensitivity Table'!H15)*$F$6+('Hedge Ratio Analysis'!$G$16-'Hedge Ratio Analysis'!$E$16)</f>
        <v>3314404.4571927092</v>
      </c>
      <c r="I16" s="9">
        <f ca="1">('StacknRoll Strategy Analysis'!$B$2-'Sensitivity Table'!I15)*$F$6+('Hedge Ratio Analysis'!$G$16-'Hedge Ratio Analysis'!$E$16)</f>
        <v>2647737.7921927092</v>
      </c>
      <c r="J16" s="9">
        <f ca="1">('StacknRoll Strategy Analysis'!$B$2-'Sensitivity Table'!J15)*$F$6+('Hedge Ratio Analysis'!$G$16-'Hedge Ratio Analysis'!$E$16)</f>
        <v>1981071.1271927094</v>
      </c>
      <c r="K16" s="9">
        <f ca="1">('StacknRoll Strategy Analysis'!$B$2-'Sensitivity Table'!K15)*$F$6+('Hedge Ratio Analysis'!$G$16-'Hedge Ratio Analysis'!$E$16)</f>
        <v>1314404.4621927093</v>
      </c>
      <c r="L16" s="9">
        <f ca="1">('StacknRoll Strategy Analysis'!$B$2-'Sensitivity Table'!L15)*$F$6+('Hedge Ratio Analysis'!$G$16-'Hedge Ratio Analysis'!$E$16)</f>
        <v>647737.79719270929</v>
      </c>
      <c r="M16" s="9">
        <f ca="1">('StacknRoll Strategy Analysis'!$B$2-'Sensitivity Table'!M15)*$F$6+('Hedge Ratio Analysis'!$G$16-'Hedge Ratio Analysis'!$E$16)</f>
        <v>-18928.867807290808</v>
      </c>
      <c r="N16" s="9">
        <f ca="1">('StacknRoll Strategy Analysis'!$B$2-'Sensitivity Table'!N15)*$F$6+('Hedge Ratio Analysis'!$G$16-'Hedge Ratio Analysis'!$E$16)</f>
        <v>-685595.53280729079</v>
      </c>
      <c r="O16" s="9">
        <f ca="1">('StacknRoll Strategy Analysis'!$B$2-'Sensitivity Table'!O15)*$F$6+('Hedge Ratio Analysis'!$G$16-'Hedge Ratio Analysis'!$E$16)</f>
        <v>-1352262.1978072908</v>
      </c>
      <c r="P16" s="9">
        <f ca="1">('StacknRoll Strategy Analysis'!$B$2-'Sensitivity Table'!P15)*$F$6+('Hedge Ratio Analysis'!$G$16-'Hedge Ratio Analysis'!$E$16)</f>
        <v>-2018928.8628072909</v>
      </c>
      <c r="Q16" s="9">
        <f ca="1">('StacknRoll Strategy Analysis'!$B$2-'Sensitivity Table'!Q15)*$F$6+('Hedge Ratio Analysis'!$G$16-'Hedge Ratio Analysis'!$E$16)</f>
        <v>-2685595.5278072911</v>
      </c>
      <c r="R16" s="9">
        <f ca="1">('StacknRoll Strategy Analysis'!$B$2-'Sensitivity Table'!R15)*$F$6+('Hedge Ratio Analysis'!$G$16-'Hedge Ratio Analysis'!$E$16)</f>
        <v>-3352262.1928072912</v>
      </c>
      <c r="S16" s="9">
        <f ca="1">('StacknRoll Strategy Analysis'!$B$2-'Sensitivity Table'!S15)*$F$6+('Hedge Ratio Analysis'!$G$16-'Hedge Ratio Analysis'!$E$16)</f>
        <v>-4018928.8578072912</v>
      </c>
      <c r="T16" s="9">
        <f ca="1">('StacknRoll Strategy Analysis'!$B$2-'Sensitivity Table'!T15)*$F$6+('Hedge Ratio Analysis'!$G$16-'Hedge Ratio Analysis'!$E$16)</f>
        <v>-4685595.5228072908</v>
      </c>
      <c r="U16" s="9">
        <f ca="1">('StacknRoll Strategy Analysis'!$B$2-'Sensitivity Table'!U15)*$F$6+('Hedge Ratio Analysis'!$G$16-'Hedge Ratio Analysis'!$E$16)</f>
        <v>-5352262.1878072908</v>
      </c>
      <c r="V16" s="9">
        <f ca="1">('StacknRoll Strategy Analysis'!$B$2-'Sensitivity Table'!V15)*$F$6+('Hedge Ratio Analysis'!$G$16-'Hedge Ratio Analysis'!$E$16)</f>
        <v>-6018928.8528072909</v>
      </c>
      <c r="W16" s="9">
        <f ca="1">('StacknRoll Strategy Analysis'!$B$2-'Sensitivity Table'!W15)*$F$6+('Hedge Ratio Analysis'!$G$16-'Hedge Ratio Analysis'!$E$16)</f>
        <v>-6685595.5178072909</v>
      </c>
    </row>
    <row r="17" spans="2:23" x14ac:dyDescent="0.45">
      <c r="B17">
        <v>0.1</v>
      </c>
      <c r="C17" s="9">
        <f ca="1">('StacknRoll Strategy Analysis'!$B$2-'Sensitivity Table'!C15)*$F$6+('Hedge Ratio Analysis'!$G$17-'Hedge Ratio Analysis'!$E$17)</f>
        <v>6628808.9143854184</v>
      </c>
      <c r="D17" s="9">
        <f ca="1">('StacknRoll Strategy Analysis'!$B$2-'Sensitivity Table'!D15)*$F$6+('Hedge Ratio Analysis'!$G$17-'Hedge Ratio Analysis'!$E$17)</f>
        <v>5962142.2493854184</v>
      </c>
      <c r="E17" s="9">
        <f ca="1">('StacknRoll Strategy Analysis'!$B$2-'Sensitivity Table'!E15)*$F$6+('Hedge Ratio Analysis'!$G$17-'Hedge Ratio Analysis'!$E$17)</f>
        <v>5295475.5843854183</v>
      </c>
      <c r="F17" s="9">
        <f ca="1">('StacknRoll Strategy Analysis'!$B$2-'Sensitivity Table'!F15)*$F$6+('Hedge Ratio Analysis'!$G$17-'Hedge Ratio Analysis'!$E$17)</f>
        <v>4628808.9193854183</v>
      </c>
      <c r="G17" s="9">
        <f ca="1">('StacknRoll Strategy Analysis'!$B$2-'Sensitivity Table'!G15)*$F$6+('Hedge Ratio Analysis'!$G$17-'Hedge Ratio Analysis'!$E$17)</f>
        <v>3962142.2543854187</v>
      </c>
      <c r="H17" s="9">
        <f ca="1">('StacknRoll Strategy Analysis'!$B$2-'Sensitivity Table'!H15)*$F$6+('Hedge Ratio Analysis'!$G$17-'Hedge Ratio Analysis'!$E$17)</f>
        <v>3295475.5893854187</v>
      </c>
      <c r="I17" s="9">
        <f ca="1">('StacknRoll Strategy Analysis'!$B$2-'Sensitivity Table'!I15)*$F$6+('Hedge Ratio Analysis'!$G$17-'Hedge Ratio Analysis'!$E$17)</f>
        <v>2628808.9243854186</v>
      </c>
      <c r="J17" s="9">
        <f ca="1">('StacknRoll Strategy Analysis'!$B$2-'Sensitivity Table'!J15)*$F$6+('Hedge Ratio Analysis'!$G$17-'Hedge Ratio Analysis'!$E$17)</f>
        <v>1962142.2593854186</v>
      </c>
      <c r="K17" s="9">
        <f ca="1">('StacknRoll Strategy Analysis'!$B$2-'Sensitivity Table'!K15)*$F$6+('Hedge Ratio Analysis'!$G$17-'Hedge Ratio Analysis'!$E$17)</f>
        <v>1295475.5943854186</v>
      </c>
      <c r="L17" s="9">
        <f ca="1">('StacknRoll Strategy Analysis'!$B$2-'Sensitivity Table'!L15)*$F$6+('Hedge Ratio Analysis'!$G$17-'Hedge Ratio Analysis'!$E$17)</f>
        <v>628808.92938541842</v>
      </c>
      <c r="M17" s="9">
        <f ca="1">('StacknRoll Strategy Analysis'!$B$2-'Sensitivity Table'!M15)*$F$6+('Hedge Ratio Analysis'!$G$17-'Hedge Ratio Analysis'!$E$17)</f>
        <v>-37857.735614581616</v>
      </c>
      <c r="N17" s="9">
        <f ca="1">('StacknRoll Strategy Analysis'!$B$2-'Sensitivity Table'!N15)*$F$6+('Hedge Ratio Analysis'!$G$17-'Hedge Ratio Analysis'!$E$17)</f>
        <v>-704524.40061458165</v>
      </c>
      <c r="O17" s="9">
        <f ca="1">('StacknRoll Strategy Analysis'!$B$2-'Sensitivity Table'!O15)*$F$6+('Hedge Ratio Analysis'!$G$17-'Hedge Ratio Analysis'!$E$17)</f>
        <v>-1371191.0656145816</v>
      </c>
      <c r="P17" s="9">
        <f ca="1">('StacknRoll Strategy Analysis'!$B$2-'Sensitivity Table'!P15)*$F$6+('Hedge Ratio Analysis'!$G$17-'Hedge Ratio Analysis'!$E$17)</f>
        <v>-2037857.7306145816</v>
      </c>
      <c r="Q17" s="9">
        <f ca="1">('StacknRoll Strategy Analysis'!$B$2-'Sensitivity Table'!Q15)*$F$6+('Hedge Ratio Analysis'!$G$17-'Hedge Ratio Analysis'!$E$17)</f>
        <v>-2704524.3956145816</v>
      </c>
      <c r="R17" s="9">
        <f ca="1">('StacknRoll Strategy Analysis'!$B$2-'Sensitivity Table'!R15)*$F$6+('Hedge Ratio Analysis'!$G$17-'Hedge Ratio Analysis'!$E$17)</f>
        <v>-3371191.0606145817</v>
      </c>
      <c r="S17" s="9">
        <f ca="1">('StacknRoll Strategy Analysis'!$B$2-'Sensitivity Table'!S15)*$F$6+('Hedge Ratio Analysis'!$G$17-'Hedge Ratio Analysis'!$E$17)</f>
        <v>-4037857.7256145817</v>
      </c>
      <c r="T17" s="9">
        <f ca="1">('StacknRoll Strategy Analysis'!$B$2-'Sensitivity Table'!T15)*$F$6+('Hedge Ratio Analysis'!$G$17-'Hedge Ratio Analysis'!$E$17)</f>
        <v>-4704524.3906145822</v>
      </c>
      <c r="U17" s="9">
        <f ca="1">('StacknRoll Strategy Analysis'!$B$2-'Sensitivity Table'!U15)*$F$6+('Hedge Ratio Analysis'!$G$17-'Hedge Ratio Analysis'!$E$17)</f>
        <v>-5371191.0556145823</v>
      </c>
      <c r="V17" s="9">
        <f ca="1">('StacknRoll Strategy Analysis'!$B$2-'Sensitivity Table'!V15)*$F$6+('Hedge Ratio Analysis'!$G$17-'Hedge Ratio Analysis'!$E$17)</f>
        <v>-6037857.7206145823</v>
      </c>
      <c r="W17" s="9">
        <f ca="1">('StacknRoll Strategy Analysis'!$B$2-'Sensitivity Table'!W15)*$F$6+('Hedge Ratio Analysis'!$G$17-'Hedge Ratio Analysis'!$E$17)</f>
        <v>-6704524.3856145823</v>
      </c>
    </row>
    <row r="18" spans="2:23" x14ac:dyDescent="0.45">
      <c r="B18">
        <v>0.15</v>
      </c>
      <c r="C18" s="9">
        <f ca="1">('StacknRoll Strategy Analysis'!$B$2-'Sensitivity Table'!C15)*$F$6+('Hedge Ratio Analysis'!$G$18-'Hedge Ratio Analysis'!$E$18)</f>
        <v>6609880.0465781279</v>
      </c>
      <c r="D18" s="9">
        <f ca="1">('StacknRoll Strategy Analysis'!$B$2-'Sensitivity Table'!D15)*$F$6+('Hedge Ratio Analysis'!$G$18-'Hedge Ratio Analysis'!$E$18)</f>
        <v>5943213.3815781279</v>
      </c>
      <c r="E18" s="9">
        <f ca="1">('StacknRoll Strategy Analysis'!$B$2-'Sensitivity Table'!E15)*$F$6+('Hedge Ratio Analysis'!$G$18-'Hedge Ratio Analysis'!$E$18)</f>
        <v>5276546.7165781278</v>
      </c>
      <c r="F18" s="9">
        <f ca="1">('StacknRoll Strategy Analysis'!$B$2-'Sensitivity Table'!F15)*$F$6+('Hedge Ratio Analysis'!$G$18-'Hedge Ratio Analysis'!$E$18)</f>
        <v>4609880.0515781278</v>
      </c>
      <c r="G18" s="9">
        <f ca="1">('StacknRoll Strategy Analysis'!$B$2-'Sensitivity Table'!G15)*$F$6+('Hedge Ratio Analysis'!$G$18-'Hedge Ratio Analysis'!$E$18)</f>
        <v>3943213.3865781277</v>
      </c>
      <c r="H18" s="9">
        <f ca="1">('StacknRoll Strategy Analysis'!$B$2-'Sensitivity Table'!H15)*$F$6+('Hedge Ratio Analysis'!$G$18-'Hedge Ratio Analysis'!$E$18)</f>
        <v>3276546.7215781277</v>
      </c>
      <c r="I18" s="9">
        <f ca="1">('StacknRoll Strategy Analysis'!$B$2-'Sensitivity Table'!I15)*$F$6+('Hedge Ratio Analysis'!$G$18-'Hedge Ratio Analysis'!$E$18)</f>
        <v>2609880.0565781277</v>
      </c>
      <c r="J18" s="9">
        <f ca="1">('StacknRoll Strategy Analysis'!$B$2-'Sensitivity Table'!J15)*$F$6+('Hedge Ratio Analysis'!$G$18-'Hedge Ratio Analysis'!$E$18)</f>
        <v>1943213.3915781276</v>
      </c>
      <c r="K18" s="9">
        <f ca="1">('StacknRoll Strategy Analysis'!$B$2-'Sensitivity Table'!K15)*$F$6+('Hedge Ratio Analysis'!$G$18-'Hedge Ratio Analysis'!$E$18)</f>
        <v>1276546.7265781276</v>
      </c>
      <c r="L18" s="9">
        <f ca="1">('StacknRoll Strategy Analysis'!$B$2-'Sensitivity Table'!L15)*$F$6+('Hedge Ratio Analysis'!$G$18-'Hedge Ratio Analysis'!$E$18)</f>
        <v>609880.06157812767</v>
      </c>
      <c r="M18" s="9">
        <f ca="1">('StacknRoll Strategy Analysis'!$B$2-'Sensitivity Table'!M15)*$F$6+('Hedge Ratio Analysis'!$G$18-'Hedge Ratio Analysis'!$E$18)</f>
        <v>-56786.603421872365</v>
      </c>
      <c r="N18" s="9">
        <f ca="1">('StacknRoll Strategy Analysis'!$B$2-'Sensitivity Table'!N15)*$F$6+('Hedge Ratio Analysis'!$G$18-'Hedge Ratio Analysis'!$E$18)</f>
        <v>-723453.2684218724</v>
      </c>
      <c r="O18" s="9">
        <f ca="1">('StacknRoll Strategy Analysis'!$B$2-'Sensitivity Table'!O15)*$F$6+('Hedge Ratio Analysis'!$G$18-'Hedge Ratio Analysis'!$E$18)</f>
        <v>-1390119.9334218726</v>
      </c>
      <c r="P18" s="9">
        <f ca="1">('StacknRoll Strategy Analysis'!$B$2-'Sensitivity Table'!P15)*$F$6+('Hedge Ratio Analysis'!$G$18-'Hedge Ratio Analysis'!$E$18)</f>
        <v>-2056786.5984218726</v>
      </c>
      <c r="Q18" s="9">
        <f ca="1">('StacknRoll Strategy Analysis'!$B$2-'Sensitivity Table'!Q15)*$F$6+('Hedge Ratio Analysis'!$G$18-'Hedge Ratio Analysis'!$E$18)</f>
        <v>-2723453.2634218726</v>
      </c>
      <c r="R18" s="9">
        <f ca="1">('StacknRoll Strategy Analysis'!$B$2-'Sensitivity Table'!R15)*$F$6+('Hedge Ratio Analysis'!$G$18-'Hedge Ratio Analysis'!$E$18)</f>
        <v>-3390119.9284218727</v>
      </c>
      <c r="S18" s="9">
        <f ca="1">('StacknRoll Strategy Analysis'!$B$2-'Sensitivity Table'!S15)*$F$6+('Hedge Ratio Analysis'!$G$18-'Hedge Ratio Analysis'!$E$18)</f>
        <v>-4056786.5934218727</v>
      </c>
      <c r="T18" s="9">
        <f ca="1">('StacknRoll Strategy Analysis'!$B$2-'Sensitivity Table'!T15)*$F$6+('Hedge Ratio Analysis'!$G$18-'Hedge Ratio Analysis'!$E$18)</f>
        <v>-4723453.2584218727</v>
      </c>
      <c r="U18" s="9">
        <f ca="1">('StacknRoll Strategy Analysis'!$B$2-'Sensitivity Table'!U15)*$F$6+('Hedge Ratio Analysis'!$G$18-'Hedge Ratio Analysis'!$E$18)</f>
        <v>-5390119.9234218728</v>
      </c>
      <c r="V18" s="9">
        <f ca="1">('StacknRoll Strategy Analysis'!$B$2-'Sensitivity Table'!V15)*$F$6+('Hedge Ratio Analysis'!$G$18-'Hedge Ratio Analysis'!$E$18)</f>
        <v>-6056786.5884218728</v>
      </c>
      <c r="W18" s="9">
        <f ca="1">('StacknRoll Strategy Analysis'!$B$2-'Sensitivity Table'!W15)*$F$6+('Hedge Ratio Analysis'!$G$18-'Hedge Ratio Analysis'!$E$18)</f>
        <v>-6723453.2534218729</v>
      </c>
    </row>
    <row r="19" spans="2:23" x14ac:dyDescent="0.45">
      <c r="B19">
        <v>0.2</v>
      </c>
      <c r="C19" s="9">
        <f ca="1">('StacknRoll Strategy Analysis'!$B$2-'Sensitivity Table'!C15)*$F$6+('Hedge Ratio Analysis'!$G$19-'Hedge Ratio Analysis'!$E$19)</f>
        <v>6590951.1787708374</v>
      </c>
      <c r="D19" s="9">
        <f ca="1">('StacknRoll Strategy Analysis'!$B$2-'Sensitivity Table'!D15)*$F$6+('Hedge Ratio Analysis'!$G$19-'Hedge Ratio Analysis'!$E$19)</f>
        <v>5924284.5137708373</v>
      </c>
      <c r="E19" s="9">
        <f ca="1">('StacknRoll Strategy Analysis'!$B$2-'Sensitivity Table'!E15)*$F$6+('Hedge Ratio Analysis'!$G$19-'Hedge Ratio Analysis'!$E$19)</f>
        <v>5257617.8487708373</v>
      </c>
      <c r="F19" s="9">
        <f ca="1">('StacknRoll Strategy Analysis'!$B$2-'Sensitivity Table'!F15)*$F$6+('Hedge Ratio Analysis'!$G$19-'Hedge Ratio Analysis'!$E$19)</f>
        <v>4590951.1837708373</v>
      </c>
      <c r="G19" s="9">
        <f ca="1">('StacknRoll Strategy Analysis'!$B$2-'Sensitivity Table'!G15)*$F$6+('Hedge Ratio Analysis'!$G$19-'Hedge Ratio Analysis'!$E$19)</f>
        <v>3924284.5187708372</v>
      </c>
      <c r="H19" s="9">
        <f ca="1">('StacknRoll Strategy Analysis'!$B$2-'Sensitivity Table'!H15)*$F$6+('Hedge Ratio Analysis'!$G$19-'Hedge Ratio Analysis'!$E$19)</f>
        <v>3257617.8537708372</v>
      </c>
      <c r="I19" s="9">
        <f ca="1">('StacknRoll Strategy Analysis'!$B$2-'Sensitivity Table'!I15)*$F$6+('Hedge Ratio Analysis'!$G$19-'Hedge Ratio Analysis'!$E$19)</f>
        <v>2590951.1887708372</v>
      </c>
      <c r="J19" s="9">
        <f ca="1">('StacknRoll Strategy Analysis'!$B$2-'Sensitivity Table'!J15)*$F$6+('Hedge Ratio Analysis'!$G$19-'Hedge Ratio Analysis'!$E$19)</f>
        <v>1924284.5237708369</v>
      </c>
      <c r="K19" s="9">
        <f ca="1">('StacknRoll Strategy Analysis'!$B$2-'Sensitivity Table'!K15)*$F$6+('Hedge Ratio Analysis'!$G$19-'Hedge Ratio Analysis'!$E$19)</f>
        <v>1257617.8587708368</v>
      </c>
      <c r="L19" s="9">
        <f ca="1">('StacknRoll Strategy Analysis'!$B$2-'Sensitivity Table'!L15)*$F$6+('Hedge Ratio Analysis'!$G$19-'Hedge Ratio Analysis'!$E$19)</f>
        <v>590951.19377083681</v>
      </c>
      <c r="M19" s="9">
        <f ca="1">('StacknRoll Strategy Analysis'!$B$2-'Sensitivity Table'!M15)*$F$6+('Hedge Ratio Analysis'!$G$19-'Hedge Ratio Analysis'!$E$19)</f>
        <v>-75715.471229163231</v>
      </c>
      <c r="N19" s="9">
        <f ca="1">('StacknRoll Strategy Analysis'!$B$2-'Sensitivity Table'!N15)*$F$6+('Hedge Ratio Analysis'!$G$19-'Hedge Ratio Analysis'!$E$19)</f>
        <v>-742382.13622916327</v>
      </c>
      <c r="O19" s="9">
        <f ca="1">('StacknRoll Strategy Analysis'!$B$2-'Sensitivity Table'!O15)*$F$6+('Hedge Ratio Analysis'!$G$19-'Hedge Ratio Analysis'!$E$19)</f>
        <v>-1409048.8012291633</v>
      </c>
      <c r="P19" s="9">
        <f ca="1">('StacknRoll Strategy Analysis'!$B$2-'Sensitivity Table'!P15)*$F$6+('Hedge Ratio Analysis'!$G$19-'Hedge Ratio Analysis'!$E$19)</f>
        <v>-2075715.4662291633</v>
      </c>
      <c r="Q19" s="9">
        <f ca="1">('StacknRoll Strategy Analysis'!$B$2-'Sensitivity Table'!Q15)*$F$6+('Hedge Ratio Analysis'!$G$19-'Hedge Ratio Analysis'!$E$19)</f>
        <v>-2742382.1312291631</v>
      </c>
      <c r="R19" s="9">
        <f ca="1">('StacknRoll Strategy Analysis'!$B$2-'Sensitivity Table'!R15)*$F$6+('Hedge Ratio Analysis'!$G$19-'Hedge Ratio Analysis'!$E$19)</f>
        <v>-3409048.7962291632</v>
      </c>
      <c r="S19" s="9">
        <f ca="1">('StacknRoll Strategy Analysis'!$B$2-'Sensitivity Table'!S15)*$F$6+('Hedge Ratio Analysis'!$G$19-'Hedge Ratio Analysis'!$E$19)</f>
        <v>-4075715.4612291632</v>
      </c>
      <c r="T19" s="9">
        <f ca="1">('StacknRoll Strategy Analysis'!$B$2-'Sensitivity Table'!T15)*$F$6+('Hedge Ratio Analysis'!$G$19-'Hedge Ratio Analysis'!$E$19)</f>
        <v>-4742382.1262291633</v>
      </c>
      <c r="U19" s="9">
        <f ca="1">('StacknRoll Strategy Analysis'!$B$2-'Sensitivity Table'!U15)*$F$6+('Hedge Ratio Analysis'!$G$19-'Hedge Ratio Analysis'!$E$19)</f>
        <v>-5409048.7912291633</v>
      </c>
      <c r="V19" s="9">
        <f ca="1">('StacknRoll Strategy Analysis'!$B$2-'Sensitivity Table'!V15)*$F$6+('Hedge Ratio Analysis'!$G$19-'Hedge Ratio Analysis'!$E$19)</f>
        <v>-6075715.4562291633</v>
      </c>
      <c r="W19" s="9">
        <f ca="1">('StacknRoll Strategy Analysis'!$B$2-'Sensitivity Table'!W15)*$F$6+('Hedge Ratio Analysis'!$G$19-'Hedge Ratio Analysis'!$E$19)</f>
        <v>-6742382.1212291634</v>
      </c>
    </row>
    <row r="20" spans="2:23" x14ac:dyDescent="0.45">
      <c r="B20">
        <v>0.25</v>
      </c>
      <c r="C20" s="9">
        <f ca="1">('StacknRoll Strategy Analysis'!$B$2-'Sensitivity Table'!C15)*$F$6+('Hedge Ratio Analysis'!$G$20-'Hedge Ratio Analysis'!$E$20)</f>
        <v>6572022.3109635459</v>
      </c>
      <c r="D20" s="9">
        <f ca="1">('StacknRoll Strategy Analysis'!$B$2-'Sensitivity Table'!D15)*$F$6+('Hedge Ratio Analysis'!$G$20-'Hedge Ratio Analysis'!$E$20)</f>
        <v>5905355.6459635459</v>
      </c>
      <c r="E20" s="9">
        <f ca="1">('StacknRoll Strategy Analysis'!$B$2-'Sensitivity Table'!E15)*$F$6+('Hedge Ratio Analysis'!$G$20-'Hedge Ratio Analysis'!$E$20)</f>
        <v>5238688.9809635459</v>
      </c>
      <c r="F20" s="9">
        <f ca="1">('StacknRoll Strategy Analysis'!$B$2-'Sensitivity Table'!F15)*$F$6+('Hedge Ratio Analysis'!$G$20-'Hedge Ratio Analysis'!$E$20)</f>
        <v>4572022.3159635458</v>
      </c>
      <c r="G20" s="9">
        <f ca="1">('StacknRoll Strategy Analysis'!$B$2-'Sensitivity Table'!G15)*$F$6+('Hedge Ratio Analysis'!$G$20-'Hedge Ratio Analysis'!$E$20)</f>
        <v>3905355.6509635458</v>
      </c>
      <c r="H20" s="9">
        <f ca="1">('StacknRoll Strategy Analysis'!$B$2-'Sensitivity Table'!H15)*$F$6+('Hedge Ratio Analysis'!$G$20-'Hedge Ratio Analysis'!$E$20)</f>
        <v>3238688.9859635457</v>
      </c>
      <c r="I20" s="9">
        <f ca="1">('StacknRoll Strategy Analysis'!$B$2-'Sensitivity Table'!I15)*$F$6+('Hedge Ratio Analysis'!$G$20-'Hedge Ratio Analysis'!$E$20)</f>
        <v>2572022.3209635457</v>
      </c>
      <c r="J20" s="9">
        <f ca="1">('StacknRoll Strategy Analysis'!$B$2-'Sensitivity Table'!J15)*$F$6+('Hedge Ratio Analysis'!$G$20-'Hedge Ratio Analysis'!$E$20)</f>
        <v>1905355.6559635459</v>
      </c>
      <c r="K20" s="9">
        <f ca="1">('StacknRoll Strategy Analysis'!$B$2-'Sensitivity Table'!K15)*$F$6+('Hedge Ratio Analysis'!$G$20-'Hedge Ratio Analysis'!$E$20)</f>
        <v>1238688.9909635459</v>
      </c>
      <c r="L20" s="9">
        <f ca="1">('StacknRoll Strategy Analysis'!$B$2-'Sensitivity Table'!L15)*$F$6+('Hedge Ratio Analysis'!$G$20-'Hedge Ratio Analysis'!$E$20)</f>
        <v>572022.32596354582</v>
      </c>
      <c r="M20" s="9">
        <f ca="1">('StacknRoll Strategy Analysis'!$B$2-'Sensitivity Table'!M15)*$F$6+('Hedge Ratio Analysis'!$G$20-'Hedge Ratio Analysis'!$E$20)</f>
        <v>-94644.339036454214</v>
      </c>
      <c r="N20" s="9">
        <f ca="1">('StacknRoll Strategy Analysis'!$B$2-'Sensitivity Table'!N15)*$F$6+('Hedge Ratio Analysis'!$G$20-'Hedge Ratio Analysis'!$E$20)</f>
        <v>-761311.00403645425</v>
      </c>
      <c r="O20" s="9">
        <f ca="1">('StacknRoll Strategy Analysis'!$B$2-'Sensitivity Table'!O15)*$F$6+('Hedge Ratio Analysis'!$G$20-'Hedge Ratio Analysis'!$E$20)</f>
        <v>-1427977.6690364543</v>
      </c>
      <c r="P20" s="9">
        <f ca="1">('StacknRoll Strategy Analysis'!$B$2-'Sensitivity Table'!P15)*$F$6+('Hedge Ratio Analysis'!$G$20-'Hedge Ratio Analysis'!$E$20)</f>
        <v>-2094644.3340364543</v>
      </c>
      <c r="Q20" s="9">
        <f ca="1">('StacknRoll Strategy Analysis'!$B$2-'Sensitivity Table'!Q15)*$F$6+('Hedge Ratio Analysis'!$G$20-'Hedge Ratio Analysis'!$E$20)</f>
        <v>-2761310.9990364546</v>
      </c>
      <c r="R20" s="9">
        <f ca="1">('StacknRoll Strategy Analysis'!$B$2-'Sensitivity Table'!R15)*$F$6+('Hedge Ratio Analysis'!$G$20-'Hedge Ratio Analysis'!$E$20)</f>
        <v>-3427977.6640364546</v>
      </c>
      <c r="S20" s="9">
        <f ca="1">('StacknRoll Strategy Analysis'!$B$2-'Sensitivity Table'!S15)*$F$6+('Hedge Ratio Analysis'!$G$20-'Hedge Ratio Analysis'!$E$20)</f>
        <v>-4094644.3290364547</v>
      </c>
      <c r="T20" s="9">
        <f ca="1">('StacknRoll Strategy Analysis'!$B$2-'Sensitivity Table'!T15)*$F$6+('Hedge Ratio Analysis'!$G$20-'Hedge Ratio Analysis'!$E$20)</f>
        <v>-4761310.9940364547</v>
      </c>
      <c r="U20" s="9">
        <f ca="1">('StacknRoll Strategy Analysis'!$B$2-'Sensitivity Table'!U15)*$F$6+('Hedge Ratio Analysis'!$G$20-'Hedge Ratio Analysis'!$E$20)</f>
        <v>-5427977.6590364547</v>
      </c>
      <c r="V20" s="9">
        <f ca="1">('StacknRoll Strategy Analysis'!$B$2-'Sensitivity Table'!V15)*$F$6+('Hedge Ratio Analysis'!$G$20-'Hedge Ratio Analysis'!$E$20)</f>
        <v>-6094644.3240364548</v>
      </c>
      <c r="W20" s="9">
        <f ca="1">('StacknRoll Strategy Analysis'!$B$2-'Sensitivity Table'!W15)*$F$6+('Hedge Ratio Analysis'!$G$20-'Hedge Ratio Analysis'!$E$20)</f>
        <v>-6761310.9890364548</v>
      </c>
    </row>
    <row r="21" spans="2:23" x14ac:dyDescent="0.45">
      <c r="B21">
        <v>0.3</v>
      </c>
      <c r="C21" s="9">
        <f ca="1">('StacknRoll Strategy Analysis'!$B$2-'Sensitivity Table'!C15)*$F$6+('Hedge Ratio Analysis'!$G$21-'Hedge Ratio Analysis'!$E$21)</f>
        <v>6553093.4431562554</v>
      </c>
      <c r="D21" s="9">
        <f ca="1">('StacknRoll Strategy Analysis'!$B$2-'Sensitivity Table'!D15)*$F$6+('Hedge Ratio Analysis'!$G$21-'Hedge Ratio Analysis'!$E$21)</f>
        <v>5886426.7781562554</v>
      </c>
      <c r="E21" s="9">
        <f ca="1">('StacknRoll Strategy Analysis'!$B$2-'Sensitivity Table'!E15)*$F$6+('Hedge Ratio Analysis'!$G$21-'Hedge Ratio Analysis'!$E$21)</f>
        <v>5219760.1131562553</v>
      </c>
      <c r="F21" s="9">
        <f ca="1">('StacknRoll Strategy Analysis'!$B$2-'Sensitivity Table'!F15)*$F$6+('Hedge Ratio Analysis'!$G$21-'Hedge Ratio Analysis'!$E$21)</f>
        <v>4553093.4481562553</v>
      </c>
      <c r="G21" s="9">
        <f ca="1">('StacknRoll Strategy Analysis'!$B$2-'Sensitivity Table'!G15)*$F$6+('Hedge Ratio Analysis'!$G$21-'Hedge Ratio Analysis'!$E$21)</f>
        <v>3886426.7831562553</v>
      </c>
      <c r="H21" s="9">
        <f ca="1">('StacknRoll Strategy Analysis'!$B$2-'Sensitivity Table'!H15)*$F$6+('Hedge Ratio Analysis'!$G$21-'Hedge Ratio Analysis'!$E$21)</f>
        <v>3219760.1181562552</v>
      </c>
      <c r="I21" s="9">
        <f ca="1">('StacknRoll Strategy Analysis'!$B$2-'Sensitivity Table'!I15)*$F$6+('Hedge Ratio Analysis'!$G$21-'Hedge Ratio Analysis'!$E$21)</f>
        <v>2553093.4531562552</v>
      </c>
      <c r="J21" s="9">
        <f ca="1">('StacknRoll Strategy Analysis'!$B$2-'Sensitivity Table'!J15)*$F$6+('Hedge Ratio Analysis'!$G$21-'Hedge Ratio Analysis'!$E$21)</f>
        <v>1886426.7881562551</v>
      </c>
      <c r="K21" s="9">
        <f ca="1">('StacknRoll Strategy Analysis'!$B$2-'Sensitivity Table'!K15)*$F$6+('Hedge Ratio Analysis'!$G$21-'Hedge Ratio Analysis'!$E$21)</f>
        <v>1219760.1231562551</v>
      </c>
      <c r="L21" s="9">
        <f ca="1">('StacknRoll Strategy Analysis'!$B$2-'Sensitivity Table'!L15)*$F$6+('Hedge Ratio Analysis'!$G$21-'Hedge Ratio Analysis'!$E$21)</f>
        <v>553093.45815625507</v>
      </c>
      <c r="M21" s="9">
        <f ca="1">('StacknRoll Strategy Analysis'!$B$2-'Sensitivity Table'!M15)*$F$6+('Hedge Ratio Analysis'!$G$21-'Hedge Ratio Analysis'!$E$21)</f>
        <v>-113573.20684374496</v>
      </c>
      <c r="N21" s="9">
        <f ca="1">('StacknRoll Strategy Analysis'!$B$2-'Sensitivity Table'!N15)*$F$6+('Hedge Ratio Analysis'!$G$21-'Hedge Ratio Analysis'!$E$21)</f>
        <v>-780239.871843745</v>
      </c>
      <c r="O21" s="9">
        <f ca="1">('StacknRoll Strategy Analysis'!$B$2-'Sensitivity Table'!O15)*$F$6+('Hedge Ratio Analysis'!$G$21-'Hedge Ratio Analysis'!$E$21)</f>
        <v>-1446906.536843745</v>
      </c>
      <c r="P21" s="9">
        <f ca="1">('StacknRoll Strategy Analysis'!$B$2-'Sensitivity Table'!P15)*$F$6+('Hedge Ratio Analysis'!$G$21-'Hedge Ratio Analysis'!$E$21)</f>
        <v>-2113573.2018437451</v>
      </c>
      <c r="Q21" s="9">
        <f ca="1">('StacknRoll Strategy Analysis'!$B$2-'Sensitivity Table'!Q15)*$F$6+('Hedge Ratio Analysis'!$G$21-'Hedge Ratio Analysis'!$E$21)</f>
        <v>-2780239.8668437451</v>
      </c>
      <c r="R21" s="9">
        <f ca="1">('StacknRoll Strategy Analysis'!$B$2-'Sensitivity Table'!R15)*$F$6+('Hedge Ratio Analysis'!$G$21-'Hedge Ratio Analysis'!$E$21)</f>
        <v>-3446906.5318437451</v>
      </c>
      <c r="S21" s="9">
        <f ca="1">('StacknRoll Strategy Analysis'!$B$2-'Sensitivity Table'!S15)*$F$6+('Hedge Ratio Analysis'!$G$21-'Hedge Ratio Analysis'!$E$21)</f>
        <v>-4113573.1968437452</v>
      </c>
      <c r="T21" s="9">
        <f ca="1">('StacknRoll Strategy Analysis'!$B$2-'Sensitivity Table'!T15)*$F$6+('Hedge Ratio Analysis'!$G$21-'Hedge Ratio Analysis'!$E$21)</f>
        <v>-4780239.8618437452</v>
      </c>
      <c r="U21" s="9">
        <f ca="1">('StacknRoll Strategy Analysis'!$B$2-'Sensitivity Table'!U15)*$F$6+('Hedge Ratio Analysis'!$G$21-'Hedge Ratio Analysis'!$E$21)</f>
        <v>-5446906.5268437453</v>
      </c>
      <c r="V21" s="9">
        <f ca="1">('StacknRoll Strategy Analysis'!$B$2-'Sensitivity Table'!V15)*$F$6+('Hedge Ratio Analysis'!$G$21-'Hedge Ratio Analysis'!$E$21)</f>
        <v>-6113573.1918437453</v>
      </c>
      <c r="W21" s="9">
        <f ca="1">('StacknRoll Strategy Analysis'!$B$2-'Sensitivity Table'!W15)*$F$6+('Hedge Ratio Analysis'!$G$21-'Hedge Ratio Analysis'!$E$21)</f>
        <v>-6780239.8568437453</v>
      </c>
    </row>
    <row r="22" spans="2:23" x14ac:dyDescent="0.45">
      <c r="B22">
        <v>0.35</v>
      </c>
      <c r="C22" s="9">
        <f ca="1">('StacknRoll Strategy Analysis'!$B$2-'Sensitivity Table'!C15)*$F$6+('Hedge Ratio Analysis'!$G$22-'Hedge Ratio Analysis'!$E$22)</f>
        <v>6534164.575348964</v>
      </c>
      <c r="D22" s="9">
        <f ca="1">('StacknRoll Strategy Analysis'!$B$2-'Sensitivity Table'!D15)*$F$6+('Hedge Ratio Analysis'!$G$22-'Hedge Ratio Analysis'!$E$22)</f>
        <v>5867497.9103489649</v>
      </c>
      <c r="E22" s="9">
        <f ca="1">('StacknRoll Strategy Analysis'!$B$2-'Sensitivity Table'!E15)*$F$6+('Hedge Ratio Analysis'!$G$22-'Hedge Ratio Analysis'!$E$22)</f>
        <v>5200831.2453489639</v>
      </c>
      <c r="F22" s="9">
        <f ca="1">('StacknRoll Strategy Analysis'!$B$2-'Sensitivity Table'!F15)*$F$6+('Hedge Ratio Analysis'!$G$22-'Hedge Ratio Analysis'!$E$22)</f>
        <v>4534164.5803489648</v>
      </c>
      <c r="G22" s="9">
        <f ca="1">('StacknRoll Strategy Analysis'!$B$2-'Sensitivity Table'!G15)*$F$6+('Hedge Ratio Analysis'!$G$22-'Hedge Ratio Analysis'!$E$22)</f>
        <v>3867497.9153489643</v>
      </c>
      <c r="H22" s="9">
        <f ca="1">('StacknRoll Strategy Analysis'!$B$2-'Sensitivity Table'!H15)*$F$6+('Hedge Ratio Analysis'!$G$22-'Hedge Ratio Analysis'!$E$22)</f>
        <v>3200831.2503489642</v>
      </c>
      <c r="I22" s="9">
        <f ca="1">('StacknRoll Strategy Analysis'!$B$2-'Sensitivity Table'!I15)*$F$6+('Hedge Ratio Analysis'!$G$22-'Hedge Ratio Analysis'!$E$22)</f>
        <v>2534164.5853489642</v>
      </c>
      <c r="J22" s="9">
        <f ca="1">('StacknRoll Strategy Analysis'!$B$2-'Sensitivity Table'!J15)*$F$6+('Hedge Ratio Analysis'!$G$22-'Hedge Ratio Analysis'!$E$22)</f>
        <v>1867497.9203489642</v>
      </c>
      <c r="K22" s="9">
        <f ca="1">('StacknRoll Strategy Analysis'!$B$2-'Sensitivity Table'!K15)*$F$6+('Hedge Ratio Analysis'!$G$22-'Hedge Ratio Analysis'!$E$22)</f>
        <v>1200831.2553489641</v>
      </c>
      <c r="L22" s="9">
        <f ca="1">('StacknRoll Strategy Analysis'!$B$2-'Sensitivity Table'!L15)*$F$6+('Hedge Ratio Analysis'!$G$22-'Hedge Ratio Analysis'!$E$22)</f>
        <v>534164.59034896409</v>
      </c>
      <c r="M22" s="9">
        <f ca="1">('StacknRoll Strategy Analysis'!$B$2-'Sensitivity Table'!M15)*$F$6+('Hedge Ratio Analysis'!$G$22-'Hedge Ratio Analysis'!$E$22)</f>
        <v>-132502.07465103595</v>
      </c>
      <c r="N22" s="9">
        <f ca="1">('StacknRoll Strategy Analysis'!$B$2-'Sensitivity Table'!N15)*$F$6+('Hedge Ratio Analysis'!$G$22-'Hedge Ratio Analysis'!$E$22)</f>
        <v>-799168.73965103598</v>
      </c>
      <c r="O22" s="9">
        <f ca="1">('StacknRoll Strategy Analysis'!$B$2-'Sensitivity Table'!O15)*$F$6+('Hedge Ratio Analysis'!$G$22-'Hedge Ratio Analysis'!$E$22)</f>
        <v>-1465835.404651036</v>
      </c>
      <c r="P22" s="9">
        <f ca="1">('StacknRoll Strategy Analysis'!$B$2-'Sensitivity Table'!P15)*$F$6+('Hedge Ratio Analysis'!$G$22-'Hedge Ratio Analysis'!$E$22)</f>
        <v>-2132502.0696510361</v>
      </c>
      <c r="Q22" s="9">
        <f ca="1">('StacknRoll Strategy Analysis'!$B$2-'Sensitivity Table'!Q15)*$F$6+('Hedge Ratio Analysis'!$G$22-'Hedge Ratio Analysis'!$E$22)</f>
        <v>-2799168.7346510361</v>
      </c>
      <c r="R22" s="9">
        <f ca="1">('StacknRoll Strategy Analysis'!$B$2-'Sensitivity Table'!R15)*$F$6+('Hedge Ratio Analysis'!$G$22-'Hedge Ratio Analysis'!$E$22)</f>
        <v>-3465835.3996510361</v>
      </c>
      <c r="S22" s="9">
        <f ca="1">('StacknRoll Strategy Analysis'!$B$2-'Sensitivity Table'!S15)*$F$6+('Hedge Ratio Analysis'!$G$22-'Hedge Ratio Analysis'!$E$22)</f>
        <v>-4132502.0646510362</v>
      </c>
      <c r="T22" s="9">
        <f ca="1">('StacknRoll Strategy Analysis'!$B$2-'Sensitivity Table'!T15)*$F$6+('Hedge Ratio Analysis'!$G$22-'Hedge Ratio Analysis'!$E$22)</f>
        <v>-4799168.7296510357</v>
      </c>
      <c r="U22" s="9">
        <f ca="1">('StacknRoll Strategy Analysis'!$B$2-'Sensitivity Table'!U15)*$F$6+('Hedge Ratio Analysis'!$G$22-'Hedge Ratio Analysis'!$E$22)</f>
        <v>-5465835.3946510367</v>
      </c>
      <c r="V22" s="9">
        <f ca="1">('StacknRoll Strategy Analysis'!$B$2-'Sensitivity Table'!V15)*$F$6+('Hedge Ratio Analysis'!$G$22-'Hedge Ratio Analysis'!$E$22)</f>
        <v>-6132502.0596510358</v>
      </c>
      <c r="W22" s="9">
        <f ca="1">('StacknRoll Strategy Analysis'!$B$2-'Sensitivity Table'!W15)*$F$6+('Hedge Ratio Analysis'!$G$22-'Hedge Ratio Analysis'!$E$22)</f>
        <v>-6799168.7246510368</v>
      </c>
    </row>
    <row r="23" spans="2:23" x14ac:dyDescent="0.45">
      <c r="B23">
        <v>0.4</v>
      </c>
      <c r="C23" s="9">
        <f ca="1">('StacknRoll Strategy Analysis'!$B$2-'Sensitivity Table'!C15)*$F$6+('Hedge Ratio Analysis'!$G$23-'Hedge Ratio Analysis'!$E$23)</f>
        <v>6515235.7075416744</v>
      </c>
      <c r="D23" s="9">
        <f ca="1">('StacknRoll Strategy Analysis'!$B$2-'Sensitivity Table'!D15)*$F$6+('Hedge Ratio Analysis'!$G$23-'Hedge Ratio Analysis'!$E$23)</f>
        <v>5848569.0425416734</v>
      </c>
      <c r="E23" s="9">
        <f ca="1">('StacknRoll Strategy Analysis'!$B$2-'Sensitivity Table'!E15)*$F$6+('Hedge Ratio Analysis'!$G$23-'Hedge Ratio Analysis'!$E$23)</f>
        <v>5181902.3775416743</v>
      </c>
      <c r="F23" s="9">
        <f ca="1">('StacknRoll Strategy Analysis'!$B$2-'Sensitivity Table'!F15)*$F$6+('Hedge Ratio Analysis'!$G$23-'Hedge Ratio Analysis'!$E$23)</f>
        <v>4515235.7125416733</v>
      </c>
      <c r="G23" s="9">
        <f ca="1">('StacknRoll Strategy Analysis'!$B$2-'Sensitivity Table'!G15)*$F$6+('Hedge Ratio Analysis'!$G$23-'Hedge Ratio Analysis'!$E$23)</f>
        <v>3848569.0475416738</v>
      </c>
      <c r="H23" s="9">
        <f ca="1">('StacknRoll Strategy Analysis'!$B$2-'Sensitivity Table'!H15)*$F$6+('Hedge Ratio Analysis'!$G$23-'Hedge Ratio Analysis'!$E$23)</f>
        <v>3181902.3825416737</v>
      </c>
      <c r="I23" s="9">
        <f ca="1">('StacknRoll Strategy Analysis'!$B$2-'Sensitivity Table'!I15)*$F$6+('Hedge Ratio Analysis'!$G$23-'Hedge Ratio Analysis'!$E$23)</f>
        <v>2515235.7175416737</v>
      </c>
      <c r="J23" s="9">
        <f ca="1">('StacknRoll Strategy Analysis'!$B$2-'Sensitivity Table'!J15)*$F$6+('Hedge Ratio Analysis'!$G$23-'Hedge Ratio Analysis'!$E$23)</f>
        <v>1848569.0525416736</v>
      </c>
      <c r="K23" s="9">
        <f ca="1">('StacknRoll Strategy Analysis'!$B$2-'Sensitivity Table'!K15)*$F$6+('Hedge Ratio Analysis'!$G$23-'Hedge Ratio Analysis'!$E$23)</f>
        <v>1181902.3875416736</v>
      </c>
      <c r="L23" s="9">
        <f ca="1">('StacknRoll Strategy Analysis'!$B$2-'Sensitivity Table'!L15)*$F$6+('Hedge Ratio Analysis'!$G$23-'Hedge Ratio Analysis'!$E$23)</f>
        <v>515235.72254167357</v>
      </c>
      <c r="M23" s="9">
        <f ca="1">('StacknRoll Strategy Analysis'!$B$2-'Sensitivity Table'!M15)*$F$6+('Hedge Ratio Analysis'!$G$23-'Hedge Ratio Analysis'!$E$23)</f>
        <v>-151430.94245832646</v>
      </c>
      <c r="N23" s="9">
        <f ca="1">('StacknRoll Strategy Analysis'!$B$2-'Sensitivity Table'!N15)*$F$6+('Hedge Ratio Analysis'!$G$23-'Hedge Ratio Analysis'!$E$23)</f>
        <v>-818097.6074583265</v>
      </c>
      <c r="O23" s="9">
        <f ca="1">('StacknRoll Strategy Analysis'!$B$2-'Sensitivity Table'!O15)*$F$6+('Hedge Ratio Analysis'!$G$23-'Hedge Ratio Analysis'!$E$23)</f>
        <v>-1484764.2724583265</v>
      </c>
      <c r="P23" s="9">
        <f ca="1">('StacknRoll Strategy Analysis'!$B$2-'Sensitivity Table'!P15)*$F$6+('Hedge Ratio Analysis'!$G$23-'Hedge Ratio Analysis'!$E$23)</f>
        <v>-2151430.9374583266</v>
      </c>
      <c r="Q23" s="9">
        <f ca="1">('StacknRoll Strategy Analysis'!$B$2-'Sensitivity Table'!Q15)*$F$6+('Hedge Ratio Analysis'!$G$23-'Hedge Ratio Analysis'!$E$23)</f>
        <v>-2818097.6024583266</v>
      </c>
      <c r="R23" s="9">
        <f ca="1">('StacknRoll Strategy Analysis'!$B$2-'Sensitivity Table'!R15)*$F$6+('Hedge Ratio Analysis'!$G$23-'Hedge Ratio Analysis'!$E$23)</f>
        <v>-3484764.2674583266</v>
      </c>
      <c r="S23" s="9">
        <f ca="1">('StacknRoll Strategy Analysis'!$B$2-'Sensitivity Table'!S15)*$F$6+('Hedge Ratio Analysis'!$G$23-'Hedge Ratio Analysis'!$E$23)</f>
        <v>-4151430.9324583267</v>
      </c>
      <c r="T23" s="9">
        <f ca="1">('StacknRoll Strategy Analysis'!$B$2-'Sensitivity Table'!T15)*$F$6+('Hedge Ratio Analysis'!$G$23-'Hedge Ratio Analysis'!$E$23)</f>
        <v>-4818097.5974583272</v>
      </c>
      <c r="U23" s="9">
        <f ca="1">('StacknRoll Strategy Analysis'!$B$2-'Sensitivity Table'!U15)*$F$6+('Hedge Ratio Analysis'!$G$23-'Hedge Ratio Analysis'!$E$23)</f>
        <v>-5484764.2624583263</v>
      </c>
      <c r="V23" s="9">
        <f ca="1">('StacknRoll Strategy Analysis'!$B$2-'Sensitivity Table'!V15)*$F$6+('Hedge Ratio Analysis'!$G$23-'Hedge Ratio Analysis'!$E$23)</f>
        <v>-6151430.9274583273</v>
      </c>
      <c r="W23" s="9">
        <f ca="1">('StacknRoll Strategy Analysis'!$B$2-'Sensitivity Table'!W15)*$F$6+('Hedge Ratio Analysis'!$G$23-'Hedge Ratio Analysis'!$E$23)</f>
        <v>-6818097.5924583264</v>
      </c>
    </row>
    <row r="24" spans="2:23" x14ac:dyDescent="0.45">
      <c r="B24">
        <v>0.45</v>
      </c>
      <c r="C24" s="9">
        <f ca="1">('StacknRoll Strategy Analysis'!$B$2-'Sensitivity Table'!C15)*$F$6+('Hedge Ratio Analysis'!$G$24-'Hedge Ratio Analysis'!$E$24)</f>
        <v>6496306.8397343829</v>
      </c>
      <c r="D24" s="9">
        <f ca="1">('StacknRoll Strategy Analysis'!$B$2-'Sensitivity Table'!D15)*$F$6+('Hedge Ratio Analysis'!$G$24-'Hedge Ratio Analysis'!$E$24)</f>
        <v>5829640.1747343829</v>
      </c>
      <c r="E24" s="9">
        <f ca="1">('StacknRoll Strategy Analysis'!$B$2-'Sensitivity Table'!E15)*$F$6+('Hedge Ratio Analysis'!$G$24-'Hedge Ratio Analysis'!$E$24)</f>
        <v>5162973.5097343829</v>
      </c>
      <c r="F24" s="9">
        <f ca="1">('StacknRoll Strategy Analysis'!$B$2-'Sensitivity Table'!F15)*$F$6+('Hedge Ratio Analysis'!$G$24-'Hedge Ratio Analysis'!$E$24)</f>
        <v>4496306.8447343828</v>
      </c>
      <c r="G24" s="9">
        <f ca="1">('StacknRoll Strategy Analysis'!$B$2-'Sensitivity Table'!G15)*$F$6+('Hedge Ratio Analysis'!$G$24-'Hedge Ratio Analysis'!$E$24)</f>
        <v>3829640.1797343828</v>
      </c>
      <c r="H24" s="9">
        <f ca="1">('StacknRoll Strategy Analysis'!$B$2-'Sensitivity Table'!H15)*$F$6+('Hedge Ratio Analysis'!$G$24-'Hedge Ratio Analysis'!$E$24)</f>
        <v>3162973.5147343827</v>
      </c>
      <c r="I24" s="9">
        <f ca="1">('StacknRoll Strategy Analysis'!$B$2-'Sensitivity Table'!I15)*$F$6+('Hedge Ratio Analysis'!$G$24-'Hedge Ratio Analysis'!$E$24)</f>
        <v>2496306.8497343827</v>
      </c>
      <c r="J24" s="9">
        <f ca="1">('StacknRoll Strategy Analysis'!$B$2-'Sensitivity Table'!J15)*$F$6+('Hedge Ratio Analysis'!$G$24-'Hedge Ratio Analysis'!$E$24)</f>
        <v>1829640.1847343827</v>
      </c>
      <c r="K24" s="9">
        <f ca="1">('StacknRoll Strategy Analysis'!$B$2-'Sensitivity Table'!K15)*$F$6+('Hedge Ratio Analysis'!$G$24-'Hedge Ratio Analysis'!$E$24)</f>
        <v>1162973.5197343826</v>
      </c>
      <c r="L24" s="9">
        <f ca="1">('StacknRoll Strategy Analysis'!$B$2-'Sensitivity Table'!L15)*$F$6+('Hedge Ratio Analysis'!$G$24-'Hedge Ratio Analysis'!$E$24)</f>
        <v>496306.85473438259</v>
      </c>
      <c r="M24" s="9">
        <f ca="1">('StacknRoll Strategy Analysis'!$B$2-'Sensitivity Table'!M15)*$F$6+('Hedge Ratio Analysis'!$G$24-'Hedge Ratio Analysis'!$E$24)</f>
        <v>-170359.81026561745</v>
      </c>
      <c r="N24" s="9">
        <f ca="1">('StacknRoll Strategy Analysis'!$B$2-'Sensitivity Table'!N15)*$F$6+('Hedge Ratio Analysis'!$G$24-'Hedge Ratio Analysis'!$E$24)</f>
        <v>-837026.47526561748</v>
      </c>
      <c r="O24" s="9">
        <f ca="1">('StacknRoll Strategy Analysis'!$B$2-'Sensitivity Table'!O15)*$F$6+('Hedge Ratio Analysis'!$G$24-'Hedge Ratio Analysis'!$E$24)</f>
        <v>-1503693.1402656175</v>
      </c>
      <c r="P24" s="9">
        <f ca="1">('StacknRoll Strategy Analysis'!$B$2-'Sensitivity Table'!P15)*$F$6+('Hedge Ratio Analysis'!$G$24-'Hedge Ratio Analysis'!$E$24)</f>
        <v>-2170359.8052656176</v>
      </c>
      <c r="Q24" s="9">
        <f ca="1">('StacknRoll Strategy Analysis'!$B$2-'Sensitivity Table'!Q15)*$F$6+('Hedge Ratio Analysis'!$G$24-'Hedge Ratio Analysis'!$E$24)</f>
        <v>-2837026.4702656176</v>
      </c>
      <c r="R24" s="9">
        <f ca="1">('StacknRoll Strategy Analysis'!$B$2-'Sensitivity Table'!R15)*$F$6+('Hedge Ratio Analysis'!$G$24-'Hedge Ratio Analysis'!$E$24)</f>
        <v>-3503693.1352656176</v>
      </c>
      <c r="S24" s="9">
        <f ca="1">('StacknRoll Strategy Analysis'!$B$2-'Sensitivity Table'!S15)*$F$6+('Hedge Ratio Analysis'!$G$24-'Hedge Ratio Analysis'!$E$24)</f>
        <v>-4170359.8002656177</v>
      </c>
      <c r="T24" s="9">
        <f ca="1">('StacknRoll Strategy Analysis'!$B$2-'Sensitivity Table'!T15)*$F$6+('Hedge Ratio Analysis'!$G$24-'Hedge Ratio Analysis'!$E$24)</f>
        <v>-4837026.4652656177</v>
      </c>
      <c r="U24" s="9">
        <f ca="1">('StacknRoll Strategy Analysis'!$B$2-'Sensitivity Table'!U15)*$F$6+('Hedge Ratio Analysis'!$G$24-'Hedge Ratio Analysis'!$E$24)</f>
        <v>-5503693.1302656177</v>
      </c>
      <c r="V24" s="9">
        <f ca="1">('StacknRoll Strategy Analysis'!$B$2-'Sensitivity Table'!V15)*$F$6+('Hedge Ratio Analysis'!$G$24-'Hedge Ratio Analysis'!$E$24)</f>
        <v>-6170359.7952656178</v>
      </c>
      <c r="W24" s="9">
        <f ca="1">('StacknRoll Strategy Analysis'!$B$2-'Sensitivity Table'!W15)*$F$6+('Hedge Ratio Analysis'!$G$24-'Hedge Ratio Analysis'!$E$24)</f>
        <v>-6837026.4602656178</v>
      </c>
    </row>
    <row r="25" spans="2:23" x14ac:dyDescent="0.45">
      <c r="B25">
        <v>0.5</v>
      </c>
      <c r="C25" s="9">
        <f ca="1">('StacknRoll Strategy Analysis'!$B$2-'Sensitivity Table'!C15)*$F$6+('Hedge Ratio Analysis'!$G$25-'Hedge Ratio Analysis'!$E$25)</f>
        <v>6477377.9719270915</v>
      </c>
      <c r="D25" s="9">
        <f ca="1">('StacknRoll Strategy Analysis'!$B$2-'Sensitivity Table'!D15)*$F$6+('Hedge Ratio Analysis'!$G$25-'Hedge Ratio Analysis'!$E$25)</f>
        <v>5810711.3069270924</v>
      </c>
      <c r="E25" s="9">
        <f ca="1">('StacknRoll Strategy Analysis'!$B$2-'Sensitivity Table'!E15)*$F$6+('Hedge Ratio Analysis'!$G$25-'Hedge Ratio Analysis'!$E$25)</f>
        <v>5144044.6419270914</v>
      </c>
      <c r="F25" s="9">
        <f ca="1">('StacknRoll Strategy Analysis'!$B$2-'Sensitivity Table'!F15)*$F$6+('Hedge Ratio Analysis'!$G$25-'Hedge Ratio Analysis'!$E$25)</f>
        <v>4477377.9769270923</v>
      </c>
      <c r="G25" s="9">
        <f ca="1">('StacknRoll Strategy Analysis'!$B$2-'Sensitivity Table'!G15)*$F$6+('Hedge Ratio Analysis'!$G$25-'Hedge Ratio Analysis'!$E$25)</f>
        <v>3810711.3119270918</v>
      </c>
      <c r="H25" s="9">
        <f ca="1">('StacknRoll Strategy Analysis'!$B$2-'Sensitivity Table'!H15)*$F$6+('Hedge Ratio Analysis'!$G$25-'Hedge Ratio Analysis'!$E$25)</f>
        <v>3144044.6469270918</v>
      </c>
      <c r="I25" s="9">
        <f ca="1">('StacknRoll Strategy Analysis'!$B$2-'Sensitivity Table'!I15)*$F$6+('Hedge Ratio Analysis'!$G$25-'Hedge Ratio Analysis'!$E$25)</f>
        <v>2477377.9819270917</v>
      </c>
      <c r="J25" s="9">
        <f ca="1">('StacknRoll Strategy Analysis'!$B$2-'Sensitivity Table'!J15)*$F$6+('Hedge Ratio Analysis'!$G$25-'Hedge Ratio Analysis'!$E$25)</f>
        <v>1810711.3169270917</v>
      </c>
      <c r="K25" s="9">
        <f ca="1">('StacknRoll Strategy Analysis'!$B$2-'Sensitivity Table'!K15)*$F$6+('Hedge Ratio Analysis'!$G$25-'Hedge Ratio Analysis'!$E$25)</f>
        <v>1144044.6519270916</v>
      </c>
      <c r="L25" s="9">
        <f ca="1">('StacknRoll Strategy Analysis'!$B$2-'Sensitivity Table'!L15)*$F$6+('Hedge Ratio Analysis'!$G$25-'Hedge Ratio Analysis'!$E$25)</f>
        <v>477377.98692709161</v>
      </c>
      <c r="M25" s="9">
        <f ca="1">('StacknRoll Strategy Analysis'!$B$2-'Sensitivity Table'!M15)*$F$6+('Hedge Ratio Analysis'!$G$25-'Hedge Ratio Analysis'!$E$25)</f>
        <v>-189288.67807290843</v>
      </c>
      <c r="N25" s="9">
        <f ca="1">('StacknRoll Strategy Analysis'!$B$2-'Sensitivity Table'!N15)*$F$6+('Hedge Ratio Analysis'!$G$25-'Hedge Ratio Analysis'!$E$25)</f>
        <v>-855955.34307290846</v>
      </c>
      <c r="O25" s="9">
        <f ca="1">('StacknRoll Strategy Analysis'!$B$2-'Sensitivity Table'!O15)*$F$6+('Hedge Ratio Analysis'!$G$25-'Hedge Ratio Analysis'!$E$25)</f>
        <v>-1522622.0080729085</v>
      </c>
      <c r="P25" s="9">
        <f ca="1">('StacknRoll Strategy Analysis'!$B$2-'Sensitivity Table'!P15)*$F$6+('Hedge Ratio Analysis'!$G$25-'Hedge Ratio Analysis'!$E$25)</f>
        <v>-2189288.6730729085</v>
      </c>
      <c r="Q25" s="9">
        <f ca="1">('StacknRoll Strategy Analysis'!$B$2-'Sensitivity Table'!Q15)*$F$6+('Hedge Ratio Analysis'!$G$25-'Hedge Ratio Analysis'!$E$25)</f>
        <v>-2855955.3380729086</v>
      </c>
      <c r="R25" s="9">
        <f ca="1">('StacknRoll Strategy Analysis'!$B$2-'Sensitivity Table'!R15)*$F$6+('Hedge Ratio Analysis'!$G$25-'Hedge Ratio Analysis'!$E$25)</f>
        <v>-3522622.0030729086</v>
      </c>
      <c r="S25" s="9">
        <f ca="1">('StacknRoll Strategy Analysis'!$B$2-'Sensitivity Table'!S15)*$F$6+('Hedge Ratio Analysis'!$G$25-'Hedge Ratio Analysis'!$E$25)</f>
        <v>-4189288.6680729087</v>
      </c>
      <c r="T25" s="9">
        <f ca="1">('StacknRoll Strategy Analysis'!$B$2-'Sensitivity Table'!T15)*$F$6+('Hedge Ratio Analysis'!$G$25-'Hedge Ratio Analysis'!$E$25)</f>
        <v>-4855955.3330729082</v>
      </c>
      <c r="U25" s="9">
        <f ca="1">('StacknRoll Strategy Analysis'!$B$2-'Sensitivity Table'!U15)*$F$6+('Hedge Ratio Analysis'!$G$25-'Hedge Ratio Analysis'!$E$25)</f>
        <v>-5522621.9980729092</v>
      </c>
      <c r="V25" s="9">
        <f ca="1">('StacknRoll Strategy Analysis'!$B$2-'Sensitivity Table'!V15)*$F$6+('Hedge Ratio Analysis'!$G$25-'Hedge Ratio Analysis'!$E$25)</f>
        <v>-6189288.6630729083</v>
      </c>
      <c r="W25" s="9">
        <f ca="1">('StacknRoll Strategy Analysis'!$B$2-'Sensitivity Table'!W15)*$F$6+('Hedge Ratio Analysis'!$G$25-'Hedge Ratio Analysis'!$E$25)</f>
        <v>-6855955.3280729093</v>
      </c>
    </row>
    <row r="26" spans="2:23" x14ac:dyDescent="0.45">
      <c r="B26">
        <v>0.55000000000000004</v>
      </c>
      <c r="C26" s="9">
        <f ca="1">('StacknRoll Strategy Analysis'!$B$2-'Sensitivity Table'!C15)*$F$6+('Hedge Ratio Analysis'!$G$26-'Hedge Ratio Analysis'!$E$26)</f>
        <v>6458449.104119801</v>
      </c>
      <c r="D26" s="9">
        <f ca="1">('StacknRoll Strategy Analysis'!$B$2-'Sensitivity Table'!D15)*$F$6+('Hedge Ratio Analysis'!$G$26-'Hedge Ratio Analysis'!$E$26)</f>
        <v>5791782.4391198009</v>
      </c>
      <c r="E26" s="9">
        <f ca="1">('StacknRoll Strategy Analysis'!$B$2-'Sensitivity Table'!E15)*$F$6+('Hedge Ratio Analysis'!$G$26-'Hedge Ratio Analysis'!$E$26)</f>
        <v>5125115.7741198009</v>
      </c>
      <c r="F26" s="9">
        <f ca="1">('StacknRoll Strategy Analysis'!$B$2-'Sensitivity Table'!F15)*$F$6+('Hedge Ratio Analysis'!$G$26-'Hedge Ratio Analysis'!$E$26)</f>
        <v>4458449.1091198009</v>
      </c>
      <c r="G26" s="9">
        <f ca="1">('StacknRoll Strategy Analysis'!$B$2-'Sensitivity Table'!G15)*$F$6+('Hedge Ratio Analysis'!$G$26-'Hedge Ratio Analysis'!$E$26)</f>
        <v>3791782.4441198008</v>
      </c>
      <c r="H26" s="9">
        <f ca="1">('StacknRoll Strategy Analysis'!$B$2-'Sensitivity Table'!H15)*$F$6+('Hedge Ratio Analysis'!$G$26-'Hedge Ratio Analysis'!$E$26)</f>
        <v>3125115.7791198008</v>
      </c>
      <c r="I26" s="9">
        <f ca="1">('StacknRoll Strategy Analysis'!$B$2-'Sensitivity Table'!I15)*$F$6+('Hedge Ratio Analysis'!$G$26-'Hedge Ratio Analysis'!$E$26)</f>
        <v>2458449.1141198007</v>
      </c>
      <c r="J26" s="9">
        <f ca="1">('StacknRoll Strategy Analysis'!$B$2-'Sensitivity Table'!J15)*$F$6+('Hedge Ratio Analysis'!$G$26-'Hedge Ratio Analysis'!$E$26)</f>
        <v>1791782.4491198007</v>
      </c>
      <c r="K26" s="9">
        <f ca="1">('StacknRoll Strategy Analysis'!$B$2-'Sensitivity Table'!K15)*$F$6+('Hedge Ratio Analysis'!$G$26-'Hedge Ratio Analysis'!$E$26)</f>
        <v>1125115.7841198007</v>
      </c>
      <c r="L26" s="9">
        <f ca="1">('StacknRoll Strategy Analysis'!$B$2-'Sensitivity Table'!L15)*$F$6+('Hedge Ratio Analysis'!$G$26-'Hedge Ratio Analysis'!$E$26)</f>
        <v>458449.11911980063</v>
      </c>
      <c r="M26" s="9">
        <f ca="1">('StacknRoll Strategy Analysis'!$B$2-'Sensitivity Table'!M15)*$F$6+('Hedge Ratio Analysis'!$G$26-'Hedge Ratio Analysis'!$E$26)</f>
        <v>-208217.54588019941</v>
      </c>
      <c r="N26" s="9">
        <f ca="1">('StacknRoll Strategy Analysis'!$B$2-'Sensitivity Table'!N15)*$F$6+('Hedge Ratio Analysis'!$G$26-'Hedge Ratio Analysis'!$E$26)</f>
        <v>-874884.21088019945</v>
      </c>
      <c r="O26" s="9">
        <f ca="1">('StacknRoll Strategy Analysis'!$B$2-'Sensitivity Table'!O15)*$F$6+('Hedge Ratio Analysis'!$G$26-'Hedge Ratio Analysis'!$E$26)</f>
        <v>-1541550.8758801995</v>
      </c>
      <c r="P26" s="9">
        <f ca="1">('StacknRoll Strategy Analysis'!$B$2-'Sensitivity Table'!P15)*$F$6+('Hedge Ratio Analysis'!$G$26-'Hedge Ratio Analysis'!$E$26)</f>
        <v>-2208217.5408801995</v>
      </c>
      <c r="Q26" s="9">
        <f ca="1">('StacknRoll Strategy Analysis'!$B$2-'Sensitivity Table'!Q15)*$F$6+('Hedge Ratio Analysis'!$G$26-'Hedge Ratio Analysis'!$E$26)</f>
        <v>-2874884.2058801996</v>
      </c>
      <c r="R26" s="9">
        <f ca="1">('StacknRoll Strategy Analysis'!$B$2-'Sensitivity Table'!R15)*$F$6+('Hedge Ratio Analysis'!$G$26-'Hedge Ratio Analysis'!$E$26)</f>
        <v>-3541550.8708801996</v>
      </c>
      <c r="S26" s="9">
        <f ca="1">('StacknRoll Strategy Analysis'!$B$2-'Sensitivity Table'!S15)*$F$6+('Hedge Ratio Analysis'!$G$26-'Hedge Ratio Analysis'!$E$26)</f>
        <v>-4208217.5358801996</v>
      </c>
      <c r="T26" s="9">
        <f ca="1">('StacknRoll Strategy Analysis'!$B$2-'Sensitivity Table'!T15)*$F$6+('Hedge Ratio Analysis'!$G$26-'Hedge Ratio Analysis'!$E$26)</f>
        <v>-4874884.2008801997</v>
      </c>
      <c r="U26" s="9">
        <f ca="1">('StacknRoll Strategy Analysis'!$B$2-'Sensitivity Table'!U15)*$F$6+('Hedge Ratio Analysis'!$G$26-'Hedge Ratio Analysis'!$E$26)</f>
        <v>-5541550.8658801997</v>
      </c>
      <c r="V26" s="9">
        <f ca="1">('StacknRoll Strategy Analysis'!$B$2-'Sensitivity Table'!V15)*$F$6+('Hedge Ratio Analysis'!$G$26-'Hedge Ratio Analysis'!$E$26)</f>
        <v>-6208217.5308801997</v>
      </c>
      <c r="W26" s="9">
        <f ca="1">('StacknRoll Strategy Analysis'!$B$2-'Sensitivity Table'!W15)*$F$6+('Hedge Ratio Analysis'!$G$26-'Hedge Ratio Analysis'!$E$26)</f>
        <v>-6874884.1958801998</v>
      </c>
    </row>
    <row r="27" spans="2:23" x14ac:dyDescent="0.45">
      <c r="B27">
        <v>0.6</v>
      </c>
      <c r="C27" s="9">
        <f ca="1">('StacknRoll Strategy Analysis'!$B$2-'Sensitivity Table'!C15)*$F$6+('Hedge Ratio Analysis'!$G$27-'Hedge Ratio Analysis'!$E$27)</f>
        <v>6439520.2363125104</v>
      </c>
      <c r="D27" s="9">
        <f ca="1">('StacknRoll Strategy Analysis'!$B$2-'Sensitivity Table'!D15)*$F$6+('Hedge Ratio Analysis'!$G$27-'Hedge Ratio Analysis'!$E$27)</f>
        <v>5772853.5713125104</v>
      </c>
      <c r="E27" s="9">
        <f ca="1">('StacknRoll Strategy Analysis'!$B$2-'Sensitivity Table'!E15)*$F$6+('Hedge Ratio Analysis'!$G$27-'Hedge Ratio Analysis'!$E$27)</f>
        <v>5106186.9063125104</v>
      </c>
      <c r="F27" s="9">
        <f ca="1">('StacknRoll Strategy Analysis'!$B$2-'Sensitivity Table'!F15)*$F$6+('Hedge Ratio Analysis'!$G$27-'Hedge Ratio Analysis'!$E$27)</f>
        <v>4439520.2413125103</v>
      </c>
      <c r="G27" s="9">
        <f ca="1">('StacknRoll Strategy Analysis'!$B$2-'Sensitivity Table'!G15)*$F$6+('Hedge Ratio Analysis'!$G$27-'Hedge Ratio Analysis'!$E$27)</f>
        <v>3772853.5763125103</v>
      </c>
      <c r="H27" s="9">
        <f ca="1">('StacknRoll Strategy Analysis'!$B$2-'Sensitivity Table'!H15)*$F$6+('Hedge Ratio Analysis'!$G$27-'Hedge Ratio Analysis'!$E$27)</f>
        <v>3106186.9113125103</v>
      </c>
      <c r="I27" s="9">
        <f ca="1">('StacknRoll Strategy Analysis'!$B$2-'Sensitivity Table'!I15)*$F$6+('Hedge Ratio Analysis'!$G$27-'Hedge Ratio Analysis'!$E$27)</f>
        <v>2439520.2463125102</v>
      </c>
      <c r="J27" s="9">
        <f ca="1">('StacknRoll Strategy Analysis'!$B$2-'Sensitivity Table'!J15)*$F$6+('Hedge Ratio Analysis'!$G$27-'Hedge Ratio Analysis'!$E$27)</f>
        <v>1772853.5813125102</v>
      </c>
      <c r="K27" s="9">
        <f ca="1">('StacknRoll Strategy Analysis'!$B$2-'Sensitivity Table'!K15)*$F$6+('Hedge Ratio Analysis'!$G$27-'Hedge Ratio Analysis'!$E$27)</f>
        <v>1106186.9163125101</v>
      </c>
      <c r="L27" s="9">
        <f ca="1">('StacknRoll Strategy Analysis'!$B$2-'Sensitivity Table'!L15)*$F$6+('Hedge Ratio Analysis'!$G$27-'Hedge Ratio Analysis'!$E$27)</f>
        <v>439520.25131251011</v>
      </c>
      <c r="M27" s="9">
        <f ca="1">('StacknRoll Strategy Analysis'!$B$2-'Sensitivity Table'!M15)*$F$6+('Hedge Ratio Analysis'!$G$27-'Hedge Ratio Analysis'!$E$27)</f>
        <v>-227146.41368748993</v>
      </c>
      <c r="N27" s="9">
        <f ca="1">('StacknRoll Strategy Analysis'!$B$2-'Sensitivity Table'!N15)*$F$6+('Hedge Ratio Analysis'!$G$27-'Hedge Ratio Analysis'!$E$27)</f>
        <v>-893813.07868748996</v>
      </c>
      <c r="O27" s="9">
        <f ca="1">('StacknRoll Strategy Analysis'!$B$2-'Sensitivity Table'!O15)*$F$6+('Hedge Ratio Analysis'!$G$27-'Hedge Ratio Analysis'!$E$27)</f>
        <v>-1560479.74368749</v>
      </c>
      <c r="P27" s="9">
        <f ca="1">('StacknRoll Strategy Analysis'!$B$2-'Sensitivity Table'!P15)*$F$6+('Hedge Ratio Analysis'!$G$27-'Hedge Ratio Analysis'!$E$27)</f>
        <v>-2227146.40868749</v>
      </c>
      <c r="Q27" s="9">
        <f ca="1">('StacknRoll Strategy Analysis'!$B$2-'Sensitivity Table'!Q15)*$F$6+('Hedge Ratio Analysis'!$G$27-'Hedge Ratio Analysis'!$E$27)</f>
        <v>-2893813.0736874901</v>
      </c>
      <c r="R27" s="9">
        <f ca="1">('StacknRoll Strategy Analysis'!$B$2-'Sensitivity Table'!R15)*$F$6+('Hedge Ratio Analysis'!$G$27-'Hedge Ratio Analysis'!$E$27)</f>
        <v>-3560479.7386874901</v>
      </c>
      <c r="S27" s="9">
        <f ca="1">('StacknRoll Strategy Analysis'!$B$2-'Sensitivity Table'!S15)*$F$6+('Hedge Ratio Analysis'!$G$27-'Hedge Ratio Analysis'!$E$27)</f>
        <v>-4227146.4036874902</v>
      </c>
      <c r="T27" s="9">
        <f ca="1">('StacknRoll Strategy Analysis'!$B$2-'Sensitivity Table'!T15)*$F$6+('Hedge Ratio Analysis'!$G$27-'Hedge Ratio Analysis'!$E$27)</f>
        <v>-4893813.0686874902</v>
      </c>
      <c r="U27" s="9">
        <f ca="1">('StacknRoll Strategy Analysis'!$B$2-'Sensitivity Table'!U15)*$F$6+('Hedge Ratio Analysis'!$G$27-'Hedge Ratio Analysis'!$E$27)</f>
        <v>-5560479.7336874902</v>
      </c>
      <c r="V27" s="9">
        <f ca="1">('StacknRoll Strategy Analysis'!$B$2-'Sensitivity Table'!V15)*$F$6+('Hedge Ratio Analysis'!$G$27-'Hedge Ratio Analysis'!$E$27)</f>
        <v>-6227146.3986874903</v>
      </c>
      <c r="W27" s="9">
        <f ca="1">('StacknRoll Strategy Analysis'!$B$2-'Sensitivity Table'!W15)*$F$6+('Hedge Ratio Analysis'!$G$27-'Hedge Ratio Analysis'!$E$27)</f>
        <v>-6893813.0636874903</v>
      </c>
    </row>
    <row r="28" spans="2:23" x14ac:dyDescent="0.45">
      <c r="B28">
        <v>0.65</v>
      </c>
      <c r="C28" s="9">
        <f ca="1">('StacknRoll Strategy Analysis'!$B$2-'Sensitivity Table'!C15)*$F$6+('Hedge Ratio Analysis'!$G$28-'Hedge Ratio Analysis'!$E$28)</f>
        <v>6420591.3685052199</v>
      </c>
      <c r="D28" s="9">
        <f ca="1">('StacknRoll Strategy Analysis'!$B$2-'Sensitivity Table'!D15)*$F$6+('Hedge Ratio Analysis'!$G$28-'Hedge Ratio Analysis'!$E$28)</f>
        <v>5753924.7035052199</v>
      </c>
      <c r="E28" s="9">
        <f ca="1">('StacknRoll Strategy Analysis'!$B$2-'Sensitivity Table'!E15)*$F$6+('Hedge Ratio Analysis'!$G$28-'Hedge Ratio Analysis'!$E$28)</f>
        <v>5087258.0385052199</v>
      </c>
      <c r="F28" s="9">
        <f ca="1">('StacknRoll Strategy Analysis'!$B$2-'Sensitivity Table'!F15)*$F$6+('Hedge Ratio Analysis'!$G$28-'Hedge Ratio Analysis'!$E$28)</f>
        <v>4420591.3735052198</v>
      </c>
      <c r="G28" s="9">
        <f ca="1">('StacknRoll Strategy Analysis'!$B$2-'Sensitivity Table'!G15)*$F$6+('Hedge Ratio Analysis'!$G$28-'Hedge Ratio Analysis'!$E$28)</f>
        <v>3753924.7085052198</v>
      </c>
      <c r="H28" s="9">
        <f ca="1">('StacknRoll Strategy Analysis'!$B$2-'Sensitivity Table'!H15)*$F$6+('Hedge Ratio Analysis'!$G$28-'Hedge Ratio Analysis'!$E$28)</f>
        <v>3087258.0435052197</v>
      </c>
      <c r="I28" s="9">
        <f ca="1">('StacknRoll Strategy Analysis'!$B$2-'Sensitivity Table'!I15)*$F$6+('Hedge Ratio Analysis'!$G$28-'Hedge Ratio Analysis'!$E$28)</f>
        <v>2420591.3785052197</v>
      </c>
      <c r="J28" s="9">
        <f ca="1">('StacknRoll Strategy Analysis'!$B$2-'Sensitivity Table'!J15)*$F$6+('Hedge Ratio Analysis'!$G$28-'Hedge Ratio Analysis'!$E$28)</f>
        <v>1753924.7135052197</v>
      </c>
      <c r="K28" s="9">
        <f ca="1">('StacknRoll Strategy Analysis'!$B$2-'Sensitivity Table'!K15)*$F$6+('Hedge Ratio Analysis'!$G$28-'Hedge Ratio Analysis'!$E$28)</f>
        <v>1087258.0485052196</v>
      </c>
      <c r="L28" s="9">
        <f ca="1">('StacknRoll Strategy Analysis'!$B$2-'Sensitivity Table'!L15)*$F$6+('Hedge Ratio Analysis'!$G$28-'Hedge Ratio Analysis'!$E$28)</f>
        <v>420591.38350521959</v>
      </c>
      <c r="M28" s="9">
        <f ca="1">('StacknRoll Strategy Analysis'!$B$2-'Sensitivity Table'!M15)*$F$6+('Hedge Ratio Analysis'!$G$28-'Hedge Ratio Analysis'!$E$28)</f>
        <v>-246075.28149478044</v>
      </c>
      <c r="N28" s="9">
        <f ca="1">('StacknRoll Strategy Analysis'!$B$2-'Sensitivity Table'!N15)*$F$6+('Hedge Ratio Analysis'!$G$28-'Hedge Ratio Analysis'!$E$28)</f>
        <v>-912741.94649478048</v>
      </c>
      <c r="O28" s="9">
        <f ca="1">('StacknRoll Strategy Analysis'!$B$2-'Sensitivity Table'!O15)*$F$6+('Hedge Ratio Analysis'!$G$28-'Hedge Ratio Analysis'!$E$28)</f>
        <v>-1579408.6114947805</v>
      </c>
      <c r="P28" s="9">
        <f ca="1">('StacknRoll Strategy Analysis'!$B$2-'Sensitivity Table'!P15)*$F$6+('Hedge Ratio Analysis'!$G$28-'Hedge Ratio Analysis'!$E$28)</f>
        <v>-2246075.2764947806</v>
      </c>
      <c r="Q28" s="9">
        <f ca="1">('StacknRoll Strategy Analysis'!$B$2-'Sensitivity Table'!Q15)*$F$6+('Hedge Ratio Analysis'!$G$28-'Hedge Ratio Analysis'!$E$28)</f>
        <v>-2912741.9414947806</v>
      </c>
      <c r="R28" s="9">
        <f ca="1">('StacknRoll Strategy Analysis'!$B$2-'Sensitivity Table'!R15)*$F$6+('Hedge Ratio Analysis'!$G$28-'Hedge Ratio Analysis'!$E$28)</f>
        <v>-3579408.6064947806</v>
      </c>
      <c r="S28" s="9">
        <f ca="1">('StacknRoll Strategy Analysis'!$B$2-'Sensitivity Table'!S15)*$F$6+('Hedge Ratio Analysis'!$G$28-'Hedge Ratio Analysis'!$E$28)</f>
        <v>-4246075.2714947807</v>
      </c>
      <c r="T28" s="9">
        <f ca="1">('StacknRoll Strategy Analysis'!$B$2-'Sensitivity Table'!T15)*$F$6+('Hedge Ratio Analysis'!$G$28-'Hedge Ratio Analysis'!$E$28)</f>
        <v>-4912741.9364947807</v>
      </c>
      <c r="U28" s="9">
        <f ca="1">('StacknRoll Strategy Analysis'!$B$2-'Sensitivity Table'!U15)*$F$6+('Hedge Ratio Analysis'!$G$28-'Hedge Ratio Analysis'!$E$28)</f>
        <v>-5579408.6014947807</v>
      </c>
      <c r="V28" s="9">
        <f ca="1">('StacknRoll Strategy Analysis'!$B$2-'Sensitivity Table'!V15)*$F$6+('Hedge Ratio Analysis'!$G$28-'Hedge Ratio Analysis'!$E$28)</f>
        <v>-6246075.2664947808</v>
      </c>
      <c r="W28" s="9">
        <f ca="1">('StacknRoll Strategy Analysis'!$B$2-'Sensitivity Table'!W15)*$F$6+('Hedge Ratio Analysis'!$G$28-'Hedge Ratio Analysis'!$E$28)</f>
        <v>-6912741.9314947808</v>
      </c>
    </row>
    <row r="29" spans="2:23" x14ac:dyDescent="0.45">
      <c r="B29">
        <v>0.7</v>
      </c>
      <c r="C29" s="9">
        <f ca="1">('StacknRoll Strategy Analysis'!$B$2-'Sensitivity Table'!C15)*$F$6+('Hedge Ratio Analysis'!$G$29-'Hedge Ratio Analysis'!$E$29)</f>
        <v>6401662.5006979294</v>
      </c>
      <c r="D29" s="9">
        <f ca="1">('StacknRoll Strategy Analysis'!$B$2-'Sensitivity Table'!D15)*$F$6+('Hedge Ratio Analysis'!$G$29-'Hedge Ratio Analysis'!$E$29)</f>
        <v>5734995.8356979284</v>
      </c>
      <c r="E29" s="9">
        <f ca="1">('StacknRoll Strategy Analysis'!$B$2-'Sensitivity Table'!E15)*$F$6+('Hedge Ratio Analysis'!$G$29-'Hedge Ratio Analysis'!$E$29)</f>
        <v>5068329.1706979293</v>
      </c>
      <c r="F29" s="9">
        <f ca="1">('StacknRoll Strategy Analysis'!$B$2-'Sensitivity Table'!F15)*$F$6+('Hedge Ratio Analysis'!$G$29-'Hedge Ratio Analysis'!$E$29)</f>
        <v>4401662.5056979284</v>
      </c>
      <c r="G29" s="9">
        <f ca="1">('StacknRoll Strategy Analysis'!$B$2-'Sensitivity Table'!G15)*$F$6+('Hedge Ratio Analysis'!$G$29-'Hedge Ratio Analysis'!$E$29)</f>
        <v>3734995.8406979288</v>
      </c>
      <c r="H29" s="9">
        <f ca="1">('StacknRoll Strategy Analysis'!$B$2-'Sensitivity Table'!H15)*$F$6+('Hedge Ratio Analysis'!$G$29-'Hedge Ratio Analysis'!$E$29)</f>
        <v>3068329.1756979288</v>
      </c>
      <c r="I29" s="9">
        <f ca="1">('StacknRoll Strategy Analysis'!$B$2-'Sensitivity Table'!I15)*$F$6+('Hedge Ratio Analysis'!$G$29-'Hedge Ratio Analysis'!$E$29)</f>
        <v>2401662.5106979287</v>
      </c>
      <c r="J29" s="9">
        <f ca="1">('StacknRoll Strategy Analysis'!$B$2-'Sensitivity Table'!J15)*$F$6+('Hedge Ratio Analysis'!$G$29-'Hedge Ratio Analysis'!$E$29)</f>
        <v>1734995.8456979287</v>
      </c>
      <c r="K29" s="9">
        <f ca="1">('StacknRoll Strategy Analysis'!$B$2-'Sensitivity Table'!K15)*$F$6+('Hedge Ratio Analysis'!$G$29-'Hedge Ratio Analysis'!$E$29)</f>
        <v>1068329.1806979286</v>
      </c>
      <c r="L29" s="9">
        <f ca="1">('StacknRoll Strategy Analysis'!$B$2-'Sensitivity Table'!L15)*$F$6+('Hedge Ratio Analysis'!$G$29-'Hedge Ratio Analysis'!$E$29)</f>
        <v>401662.51569792861</v>
      </c>
      <c r="M29" s="9">
        <f ca="1">('StacknRoll Strategy Analysis'!$B$2-'Sensitivity Table'!M15)*$F$6+('Hedge Ratio Analysis'!$G$29-'Hedge Ratio Analysis'!$E$29)</f>
        <v>-265004.14930207143</v>
      </c>
      <c r="N29" s="9">
        <f ca="1">('StacknRoll Strategy Analysis'!$B$2-'Sensitivity Table'!N15)*$F$6+('Hedge Ratio Analysis'!$G$29-'Hedge Ratio Analysis'!$E$29)</f>
        <v>-931670.81430207146</v>
      </c>
      <c r="O29" s="9">
        <f ca="1">('StacknRoll Strategy Analysis'!$B$2-'Sensitivity Table'!O15)*$F$6+('Hedge Ratio Analysis'!$G$29-'Hedge Ratio Analysis'!$E$29)</f>
        <v>-1598337.4793020715</v>
      </c>
      <c r="P29" s="9">
        <f ca="1">('StacknRoll Strategy Analysis'!$B$2-'Sensitivity Table'!P15)*$F$6+('Hedge Ratio Analysis'!$G$29-'Hedge Ratio Analysis'!$E$29)</f>
        <v>-2265004.1443020715</v>
      </c>
      <c r="Q29" s="9">
        <f ca="1">('StacknRoll Strategy Analysis'!$B$2-'Sensitivity Table'!Q15)*$F$6+('Hedge Ratio Analysis'!$G$29-'Hedge Ratio Analysis'!$E$29)</f>
        <v>-2931670.8093020716</v>
      </c>
      <c r="R29" s="9">
        <f ca="1">('StacknRoll Strategy Analysis'!$B$2-'Sensitivity Table'!R15)*$F$6+('Hedge Ratio Analysis'!$G$29-'Hedge Ratio Analysis'!$E$29)</f>
        <v>-3598337.4743020716</v>
      </c>
      <c r="S29" s="9">
        <f ca="1">('StacknRoll Strategy Analysis'!$B$2-'Sensitivity Table'!S15)*$F$6+('Hedge Ratio Analysis'!$G$29-'Hedge Ratio Analysis'!$E$29)</f>
        <v>-4265004.1393020712</v>
      </c>
      <c r="T29" s="9">
        <f ca="1">('StacknRoll Strategy Analysis'!$B$2-'Sensitivity Table'!T15)*$F$6+('Hedge Ratio Analysis'!$G$29-'Hedge Ratio Analysis'!$E$29)</f>
        <v>-4931670.8043020722</v>
      </c>
      <c r="U29" s="9">
        <f ca="1">('StacknRoll Strategy Analysis'!$B$2-'Sensitivity Table'!U15)*$F$6+('Hedge Ratio Analysis'!$G$29-'Hedge Ratio Analysis'!$E$29)</f>
        <v>-5598337.4693020713</v>
      </c>
      <c r="V29" s="9">
        <f ca="1">('StacknRoll Strategy Analysis'!$B$2-'Sensitivity Table'!V15)*$F$6+('Hedge Ratio Analysis'!$G$29-'Hedge Ratio Analysis'!$E$29)</f>
        <v>-6265004.1343020722</v>
      </c>
      <c r="W29" s="9">
        <f ca="1">('StacknRoll Strategy Analysis'!$B$2-'Sensitivity Table'!W15)*$F$6+('Hedge Ratio Analysis'!$G$29-'Hedge Ratio Analysis'!$E$29)</f>
        <v>-6931670.7993020713</v>
      </c>
    </row>
    <row r="30" spans="2:23" x14ac:dyDescent="0.45">
      <c r="B30">
        <v>0.75</v>
      </c>
      <c r="C30" s="9">
        <f ca="1">('StacknRoll Strategy Analysis'!$B$2-'Sensitivity Table'!C15)*$F$6+('Hedge Ratio Analysis'!$G$30-'Hedge Ratio Analysis'!$E$30)</f>
        <v>6382733.632890638</v>
      </c>
      <c r="D30" s="9">
        <f ca="1">('StacknRoll Strategy Analysis'!$B$2-'Sensitivity Table'!D15)*$F$6+('Hedge Ratio Analysis'!$G$30-'Hedge Ratio Analysis'!$E$30)</f>
        <v>5716066.9678906379</v>
      </c>
      <c r="E30" s="9">
        <f ca="1">('StacknRoll Strategy Analysis'!$B$2-'Sensitivity Table'!E15)*$F$6+('Hedge Ratio Analysis'!$G$30-'Hedge Ratio Analysis'!$E$30)</f>
        <v>5049400.3028906379</v>
      </c>
      <c r="F30" s="9">
        <f ca="1">('StacknRoll Strategy Analysis'!$B$2-'Sensitivity Table'!F15)*$F$6+('Hedge Ratio Analysis'!$G$30-'Hedge Ratio Analysis'!$E$30)</f>
        <v>4382733.6378906379</v>
      </c>
      <c r="G30" s="9">
        <f ca="1">('StacknRoll Strategy Analysis'!$B$2-'Sensitivity Table'!G15)*$F$6+('Hedge Ratio Analysis'!$G$30-'Hedge Ratio Analysis'!$E$30)</f>
        <v>3716066.9728906378</v>
      </c>
      <c r="H30" s="9">
        <f ca="1">('StacknRoll Strategy Analysis'!$B$2-'Sensitivity Table'!H15)*$F$6+('Hedge Ratio Analysis'!$G$30-'Hedge Ratio Analysis'!$E$30)</f>
        <v>3049400.3078906378</v>
      </c>
      <c r="I30" s="9">
        <f ca="1">('StacknRoll Strategy Analysis'!$B$2-'Sensitivity Table'!I15)*$F$6+('Hedge Ratio Analysis'!$G$30-'Hedge Ratio Analysis'!$E$30)</f>
        <v>2382733.6428906377</v>
      </c>
      <c r="J30" s="9">
        <f ca="1">('StacknRoll Strategy Analysis'!$B$2-'Sensitivity Table'!J15)*$F$6+('Hedge Ratio Analysis'!$G$30-'Hedge Ratio Analysis'!$E$30)</f>
        <v>1716066.9778906377</v>
      </c>
      <c r="K30" s="9">
        <f ca="1">('StacknRoll Strategy Analysis'!$B$2-'Sensitivity Table'!K15)*$F$6+('Hedge Ratio Analysis'!$G$30-'Hedge Ratio Analysis'!$E$30)</f>
        <v>1049400.3128906377</v>
      </c>
      <c r="L30" s="9">
        <f ca="1">('StacknRoll Strategy Analysis'!$B$2-'Sensitivity Table'!L15)*$F$6+('Hedge Ratio Analysis'!$G$30-'Hedge Ratio Analysis'!$E$30)</f>
        <v>382733.64789063763</v>
      </c>
      <c r="M30" s="9">
        <f ca="1">('StacknRoll Strategy Analysis'!$B$2-'Sensitivity Table'!M15)*$F$6+('Hedge Ratio Analysis'!$G$30-'Hedge Ratio Analysis'!$E$30)</f>
        <v>-283933.01710936241</v>
      </c>
      <c r="N30" s="9">
        <f ca="1">('StacknRoll Strategy Analysis'!$B$2-'Sensitivity Table'!N15)*$F$6+('Hedge Ratio Analysis'!$G$30-'Hedge Ratio Analysis'!$E$30)</f>
        <v>-950599.68210936245</v>
      </c>
      <c r="O30" s="9">
        <f ca="1">('StacknRoll Strategy Analysis'!$B$2-'Sensitivity Table'!O15)*$F$6+('Hedge Ratio Analysis'!$G$30-'Hedge Ratio Analysis'!$E$30)</f>
        <v>-1617266.3471093625</v>
      </c>
      <c r="P30" s="9">
        <f ca="1">('StacknRoll Strategy Analysis'!$B$2-'Sensitivity Table'!P15)*$F$6+('Hedge Ratio Analysis'!$G$30-'Hedge Ratio Analysis'!$E$30)</f>
        <v>-2283933.0121093625</v>
      </c>
      <c r="Q30" s="9">
        <f ca="1">('StacknRoll Strategy Analysis'!$B$2-'Sensitivity Table'!Q15)*$F$6+('Hedge Ratio Analysis'!$G$30-'Hedge Ratio Analysis'!$E$30)</f>
        <v>-2950599.6771093626</v>
      </c>
      <c r="R30" s="9">
        <f ca="1">('StacknRoll Strategy Analysis'!$B$2-'Sensitivity Table'!R15)*$F$6+('Hedge Ratio Analysis'!$G$30-'Hedge Ratio Analysis'!$E$30)</f>
        <v>-3617266.3421093626</v>
      </c>
      <c r="S30" s="9">
        <f ca="1">('StacknRoll Strategy Analysis'!$B$2-'Sensitivity Table'!S15)*$F$6+('Hedge Ratio Analysis'!$G$30-'Hedge Ratio Analysis'!$E$30)</f>
        <v>-4283933.0071093626</v>
      </c>
      <c r="T30" s="9">
        <f ca="1">('StacknRoll Strategy Analysis'!$B$2-'Sensitivity Table'!T15)*$F$6+('Hedge Ratio Analysis'!$G$30-'Hedge Ratio Analysis'!$E$30)</f>
        <v>-4950599.6721093627</v>
      </c>
      <c r="U30" s="9">
        <f ca="1">('StacknRoll Strategy Analysis'!$B$2-'Sensitivity Table'!U15)*$F$6+('Hedge Ratio Analysis'!$G$30-'Hedge Ratio Analysis'!$E$30)</f>
        <v>-5617266.3371093627</v>
      </c>
      <c r="V30" s="9">
        <f ca="1">('StacknRoll Strategy Analysis'!$B$2-'Sensitivity Table'!V15)*$F$6+('Hedge Ratio Analysis'!$G$30-'Hedge Ratio Analysis'!$E$30)</f>
        <v>-6283933.0021093627</v>
      </c>
      <c r="W30" s="9">
        <f ca="1">('StacknRoll Strategy Analysis'!$B$2-'Sensitivity Table'!W15)*$F$6+('Hedge Ratio Analysis'!$G$30-'Hedge Ratio Analysis'!$E$30)</f>
        <v>-6950599.6671093628</v>
      </c>
    </row>
    <row r="31" spans="2:23" x14ac:dyDescent="0.45">
      <c r="B31">
        <v>0.8</v>
      </c>
      <c r="C31" s="9">
        <f ca="1">('StacknRoll Strategy Analysis'!$B$2-'Sensitivity Table'!C15)*$F$6+('Hedge Ratio Analysis'!$G$31-'Hedge Ratio Analysis'!$E$31)</f>
        <v>6363804.7650833465</v>
      </c>
      <c r="D31" s="9">
        <f ca="1">('StacknRoll Strategy Analysis'!$B$2-'Sensitivity Table'!D15)*$F$6+('Hedge Ratio Analysis'!$G$31-'Hedge Ratio Analysis'!$E$31)</f>
        <v>5697138.1000833465</v>
      </c>
      <c r="E31" s="9">
        <f ca="1">('StacknRoll Strategy Analysis'!$B$2-'Sensitivity Table'!E15)*$F$6+('Hedge Ratio Analysis'!$G$31-'Hedge Ratio Analysis'!$E$31)</f>
        <v>5030471.4350833464</v>
      </c>
      <c r="F31" s="9">
        <f ca="1">('StacknRoll Strategy Analysis'!$B$2-'Sensitivity Table'!F15)*$F$6+('Hedge Ratio Analysis'!$G$31-'Hedge Ratio Analysis'!$E$31)</f>
        <v>4363804.7700833464</v>
      </c>
      <c r="G31" s="9">
        <f ca="1">('StacknRoll Strategy Analysis'!$B$2-'Sensitivity Table'!G15)*$F$6+('Hedge Ratio Analysis'!$G$31-'Hedge Ratio Analysis'!$E$31)</f>
        <v>3697138.1050833464</v>
      </c>
      <c r="H31" s="9">
        <f ca="1">('StacknRoll Strategy Analysis'!$B$2-'Sensitivity Table'!H15)*$F$6+('Hedge Ratio Analysis'!$G$31-'Hedge Ratio Analysis'!$E$31)</f>
        <v>3030471.4400833463</v>
      </c>
      <c r="I31" s="9">
        <f ca="1">('StacknRoll Strategy Analysis'!$B$2-'Sensitivity Table'!I15)*$F$6+('Hedge Ratio Analysis'!$G$31-'Hedge Ratio Analysis'!$E$31)</f>
        <v>2363804.7750833463</v>
      </c>
      <c r="J31" s="9">
        <f ca="1">('StacknRoll Strategy Analysis'!$B$2-'Sensitivity Table'!J15)*$F$6+('Hedge Ratio Analysis'!$G$31-'Hedge Ratio Analysis'!$E$31)</f>
        <v>1697138.1100833463</v>
      </c>
      <c r="K31" s="9">
        <f ca="1">('StacknRoll Strategy Analysis'!$B$2-'Sensitivity Table'!K15)*$F$6+('Hedge Ratio Analysis'!$G$31-'Hedge Ratio Analysis'!$E$31)</f>
        <v>1030471.4450833462</v>
      </c>
      <c r="L31" s="9">
        <f ca="1">('StacknRoll Strategy Analysis'!$B$2-'Sensitivity Table'!L15)*$F$6+('Hedge Ratio Analysis'!$G$31-'Hedge Ratio Analysis'!$E$31)</f>
        <v>363804.78008334618</v>
      </c>
      <c r="M31" s="9">
        <f ca="1">('StacknRoll Strategy Analysis'!$B$2-'Sensitivity Table'!M15)*$F$6+('Hedge Ratio Analysis'!$G$31-'Hedge Ratio Analysis'!$E$31)</f>
        <v>-302861.88491665386</v>
      </c>
      <c r="N31" s="9">
        <f ca="1">('StacknRoll Strategy Analysis'!$B$2-'Sensitivity Table'!N15)*$F$6+('Hedge Ratio Analysis'!$G$31-'Hedge Ratio Analysis'!$E$31)</f>
        <v>-969528.54991665389</v>
      </c>
      <c r="O31" s="9">
        <f ca="1">('StacknRoll Strategy Analysis'!$B$2-'Sensitivity Table'!O15)*$F$6+('Hedge Ratio Analysis'!$G$31-'Hedge Ratio Analysis'!$E$31)</f>
        <v>-1636195.2149166539</v>
      </c>
      <c r="P31" s="9">
        <f ca="1">('StacknRoll Strategy Analysis'!$B$2-'Sensitivity Table'!P15)*$F$6+('Hedge Ratio Analysis'!$G$31-'Hedge Ratio Analysis'!$E$31)</f>
        <v>-2302861.879916654</v>
      </c>
      <c r="Q31" s="9">
        <f ca="1">('StacknRoll Strategy Analysis'!$B$2-'Sensitivity Table'!Q15)*$F$6+('Hedge Ratio Analysis'!$G$31-'Hedge Ratio Analysis'!$E$31)</f>
        <v>-2969528.544916654</v>
      </c>
      <c r="R31" s="9">
        <f ca="1">('StacknRoll Strategy Analysis'!$B$2-'Sensitivity Table'!R15)*$F$6+('Hedge Ratio Analysis'!$G$31-'Hedge Ratio Analysis'!$E$31)</f>
        <v>-3636195.209916654</v>
      </c>
      <c r="S31" s="9">
        <f ca="1">('StacknRoll Strategy Analysis'!$B$2-'Sensitivity Table'!S15)*$F$6+('Hedge Ratio Analysis'!$G$31-'Hedge Ratio Analysis'!$E$31)</f>
        <v>-4302861.8749166541</v>
      </c>
      <c r="T31" s="9">
        <f ca="1">('StacknRoll Strategy Analysis'!$B$2-'Sensitivity Table'!T15)*$F$6+('Hedge Ratio Analysis'!$G$31-'Hedge Ratio Analysis'!$E$31)</f>
        <v>-4969528.5399166541</v>
      </c>
      <c r="U31" s="9">
        <f ca="1">('StacknRoll Strategy Analysis'!$B$2-'Sensitivity Table'!U15)*$F$6+('Hedge Ratio Analysis'!$G$31-'Hedge Ratio Analysis'!$E$31)</f>
        <v>-5636195.2049166542</v>
      </c>
      <c r="V31" s="9">
        <f ca="1">('StacknRoll Strategy Analysis'!$B$2-'Sensitivity Table'!V15)*$F$6+('Hedge Ratio Analysis'!$G$31-'Hedge Ratio Analysis'!$E$31)</f>
        <v>-6302861.8699166542</v>
      </c>
      <c r="W31" s="9">
        <f ca="1">('StacknRoll Strategy Analysis'!$B$2-'Sensitivity Table'!W15)*$F$6+('Hedge Ratio Analysis'!$G$31-'Hedge Ratio Analysis'!$E$31)</f>
        <v>-6969528.5349166542</v>
      </c>
    </row>
    <row r="32" spans="2:23" x14ac:dyDescent="0.45">
      <c r="B32">
        <v>0.85</v>
      </c>
      <c r="C32" s="9">
        <f ca="1">('StacknRoll Strategy Analysis'!$B$2-'Sensitivity Table'!C15)*$F$6+('Hedge Ratio Analysis'!$G$32-'Hedge Ratio Analysis'!$E$32)</f>
        <v>6344875.897276056</v>
      </c>
      <c r="D32" s="9">
        <f ca="1">('StacknRoll Strategy Analysis'!$B$2-'Sensitivity Table'!D15)*$F$6+('Hedge Ratio Analysis'!$G$32-'Hedge Ratio Analysis'!$E$32)</f>
        <v>5678209.232276056</v>
      </c>
      <c r="E32" s="9">
        <f ca="1">('StacknRoll Strategy Analysis'!$B$2-'Sensitivity Table'!E15)*$F$6+('Hedge Ratio Analysis'!$G$32-'Hedge Ratio Analysis'!$E$32)</f>
        <v>5011542.5672760559</v>
      </c>
      <c r="F32" s="9">
        <f ca="1">('StacknRoll Strategy Analysis'!$B$2-'Sensitivity Table'!F15)*$F$6+('Hedge Ratio Analysis'!$G$32-'Hedge Ratio Analysis'!$E$32)</f>
        <v>4344875.9022760559</v>
      </c>
      <c r="G32" s="9">
        <f ca="1">('StacknRoll Strategy Analysis'!$B$2-'Sensitivity Table'!G15)*$F$6+('Hedge Ratio Analysis'!$G$32-'Hedge Ratio Analysis'!$E$32)</f>
        <v>3678209.2372760559</v>
      </c>
      <c r="H32" s="9">
        <f ca="1">('StacknRoll Strategy Analysis'!$B$2-'Sensitivity Table'!H15)*$F$6+('Hedge Ratio Analysis'!$G$32-'Hedge Ratio Analysis'!$E$32)</f>
        <v>3011542.5722760558</v>
      </c>
      <c r="I32" s="9">
        <f ca="1">('StacknRoll Strategy Analysis'!$B$2-'Sensitivity Table'!I15)*$F$6+('Hedge Ratio Analysis'!$G$32-'Hedge Ratio Analysis'!$E$32)</f>
        <v>2344875.9072760558</v>
      </c>
      <c r="J32" s="9">
        <f ca="1">('StacknRoll Strategy Analysis'!$B$2-'Sensitivity Table'!J15)*$F$6+('Hedge Ratio Analysis'!$G$32-'Hedge Ratio Analysis'!$E$32)</f>
        <v>1678209.2422760557</v>
      </c>
      <c r="K32" s="9">
        <f ca="1">('StacknRoll Strategy Analysis'!$B$2-'Sensitivity Table'!K15)*$F$6+('Hedge Ratio Analysis'!$G$32-'Hedge Ratio Analysis'!$E$32)</f>
        <v>1011542.5772760557</v>
      </c>
      <c r="L32" s="9">
        <f ca="1">('StacknRoll Strategy Analysis'!$B$2-'Sensitivity Table'!L15)*$F$6+('Hedge Ratio Analysis'!$G$32-'Hedge Ratio Analysis'!$E$32)</f>
        <v>344875.91227605566</v>
      </c>
      <c r="M32" s="9">
        <f ca="1">('StacknRoll Strategy Analysis'!$B$2-'Sensitivity Table'!M15)*$F$6+('Hedge Ratio Analysis'!$G$32-'Hedge Ratio Analysis'!$E$32)</f>
        <v>-321790.75272394437</v>
      </c>
      <c r="N32" s="9">
        <f ca="1">('StacknRoll Strategy Analysis'!$B$2-'Sensitivity Table'!N15)*$F$6+('Hedge Ratio Analysis'!$G$32-'Hedge Ratio Analysis'!$E$32)</f>
        <v>-988457.41772394441</v>
      </c>
      <c r="O32" s="9">
        <f ca="1">('StacknRoll Strategy Analysis'!$B$2-'Sensitivity Table'!O15)*$F$6+('Hedge Ratio Analysis'!$G$32-'Hedge Ratio Analysis'!$E$32)</f>
        <v>-1655124.0827239444</v>
      </c>
      <c r="P32" s="9">
        <f ca="1">('StacknRoll Strategy Analysis'!$B$2-'Sensitivity Table'!P15)*$F$6+('Hedge Ratio Analysis'!$G$32-'Hedge Ratio Analysis'!$E$32)</f>
        <v>-2321790.7477239445</v>
      </c>
      <c r="Q32" s="9">
        <f ca="1">('StacknRoll Strategy Analysis'!$B$2-'Sensitivity Table'!Q15)*$F$6+('Hedge Ratio Analysis'!$G$32-'Hedge Ratio Analysis'!$E$32)</f>
        <v>-2988457.4127239445</v>
      </c>
      <c r="R32" s="9">
        <f ca="1">('StacknRoll Strategy Analysis'!$B$2-'Sensitivity Table'!R15)*$F$6+('Hedge Ratio Analysis'!$G$32-'Hedge Ratio Analysis'!$E$32)</f>
        <v>-3655124.0777239446</v>
      </c>
      <c r="S32" s="9">
        <f ca="1">('StacknRoll Strategy Analysis'!$B$2-'Sensitivity Table'!S15)*$F$6+('Hedge Ratio Analysis'!$G$32-'Hedge Ratio Analysis'!$E$32)</f>
        <v>-4321790.7427239446</v>
      </c>
      <c r="T32" s="9">
        <f ca="1">('StacknRoll Strategy Analysis'!$B$2-'Sensitivity Table'!T15)*$F$6+('Hedge Ratio Analysis'!$G$32-'Hedge Ratio Analysis'!$E$32)</f>
        <v>-4988457.4077239446</v>
      </c>
      <c r="U32" s="9">
        <f ca="1">('StacknRoll Strategy Analysis'!$B$2-'Sensitivity Table'!U15)*$F$6+('Hedge Ratio Analysis'!$G$32-'Hedge Ratio Analysis'!$E$32)</f>
        <v>-5655124.0727239447</v>
      </c>
      <c r="V32" s="9">
        <f ca="1">('StacknRoll Strategy Analysis'!$B$2-'Sensitivity Table'!V15)*$F$6+('Hedge Ratio Analysis'!$G$32-'Hedge Ratio Analysis'!$E$32)</f>
        <v>-6321790.7377239447</v>
      </c>
      <c r="W32" s="9">
        <f ca="1">('StacknRoll Strategy Analysis'!$B$2-'Sensitivity Table'!W15)*$F$6+('Hedge Ratio Analysis'!$G$32-'Hedge Ratio Analysis'!$E$32)</f>
        <v>-6988457.4027239447</v>
      </c>
    </row>
    <row r="33" spans="2:23" x14ac:dyDescent="0.45">
      <c r="B33">
        <v>0.9</v>
      </c>
      <c r="C33" s="9">
        <f ca="1">('StacknRoll Strategy Analysis'!$B$2-'Sensitivity Table'!C15)*$F$6+('Hedge Ratio Analysis'!$G$33-'Hedge Ratio Analysis'!$E$33)</f>
        <v>6325947.0294687655</v>
      </c>
      <c r="D33" s="9">
        <f ca="1">('StacknRoll Strategy Analysis'!$B$2-'Sensitivity Table'!D15)*$F$6+('Hedge Ratio Analysis'!$G$33-'Hedge Ratio Analysis'!$E$33)</f>
        <v>5659280.3644687654</v>
      </c>
      <c r="E33" s="9">
        <f ca="1">('StacknRoll Strategy Analysis'!$B$2-'Sensitivity Table'!E15)*$F$6+('Hedge Ratio Analysis'!$G$33-'Hedge Ratio Analysis'!$E$33)</f>
        <v>4992613.6994687654</v>
      </c>
      <c r="F33" s="9">
        <f ca="1">('StacknRoll Strategy Analysis'!$B$2-'Sensitivity Table'!F15)*$F$6+('Hedge Ratio Analysis'!$G$33-'Hedge Ratio Analysis'!$E$33)</f>
        <v>4325947.0344687654</v>
      </c>
      <c r="G33" s="9">
        <f ca="1">('StacknRoll Strategy Analysis'!$B$2-'Sensitivity Table'!G15)*$F$6+('Hedge Ratio Analysis'!$G$33-'Hedge Ratio Analysis'!$E$33)</f>
        <v>3659280.3694687653</v>
      </c>
      <c r="H33" s="9">
        <f ca="1">('StacknRoll Strategy Analysis'!$B$2-'Sensitivity Table'!H15)*$F$6+('Hedge Ratio Analysis'!$G$33-'Hedge Ratio Analysis'!$E$33)</f>
        <v>2992613.7044687653</v>
      </c>
      <c r="I33" s="9">
        <f ca="1">('StacknRoll Strategy Analysis'!$B$2-'Sensitivity Table'!I15)*$F$6+('Hedge Ratio Analysis'!$G$33-'Hedge Ratio Analysis'!$E$33)</f>
        <v>2325947.0394687653</v>
      </c>
      <c r="J33" s="9">
        <f ca="1">('StacknRoll Strategy Analysis'!$B$2-'Sensitivity Table'!J15)*$F$6+('Hedge Ratio Analysis'!$G$33-'Hedge Ratio Analysis'!$E$33)</f>
        <v>1659280.3744687652</v>
      </c>
      <c r="K33" s="9">
        <f ca="1">('StacknRoll Strategy Analysis'!$B$2-'Sensitivity Table'!K15)*$F$6+('Hedge Ratio Analysis'!$G$33-'Hedge Ratio Analysis'!$E$33)</f>
        <v>992613.70946876518</v>
      </c>
      <c r="L33" s="9">
        <f ca="1">('StacknRoll Strategy Analysis'!$B$2-'Sensitivity Table'!L15)*$F$6+('Hedge Ratio Analysis'!$G$33-'Hedge Ratio Analysis'!$E$33)</f>
        <v>325947.04446876515</v>
      </c>
      <c r="M33" s="9">
        <f ca="1">('StacknRoll Strategy Analysis'!$B$2-'Sensitivity Table'!M15)*$F$6+('Hedge Ratio Analysis'!$G$33-'Hedge Ratio Analysis'!$E$33)</f>
        <v>-340719.62053123489</v>
      </c>
      <c r="N33" s="9">
        <f ca="1">('StacknRoll Strategy Analysis'!$B$2-'Sensitivity Table'!N15)*$F$6+('Hedge Ratio Analysis'!$G$33-'Hedge Ratio Analysis'!$E$33)</f>
        <v>-1007386.2855312349</v>
      </c>
      <c r="O33" s="9">
        <f ca="1">('StacknRoll Strategy Analysis'!$B$2-'Sensitivity Table'!O15)*$F$6+('Hedge Ratio Analysis'!$G$33-'Hedge Ratio Analysis'!$E$33)</f>
        <v>-1674052.950531235</v>
      </c>
      <c r="P33" s="9">
        <f ca="1">('StacknRoll Strategy Analysis'!$B$2-'Sensitivity Table'!P15)*$F$6+('Hedge Ratio Analysis'!$G$33-'Hedge Ratio Analysis'!$E$33)</f>
        <v>-2340719.615531235</v>
      </c>
      <c r="Q33" s="9">
        <f ca="1">('StacknRoll Strategy Analysis'!$B$2-'Sensitivity Table'!Q15)*$F$6+('Hedge Ratio Analysis'!$G$33-'Hedge Ratio Analysis'!$E$33)</f>
        <v>-3007386.280531235</v>
      </c>
      <c r="R33" s="9">
        <f ca="1">('StacknRoll Strategy Analysis'!$B$2-'Sensitivity Table'!R15)*$F$6+('Hedge Ratio Analysis'!$G$33-'Hedge Ratio Analysis'!$E$33)</f>
        <v>-3674052.9455312351</v>
      </c>
      <c r="S33" s="9">
        <f ca="1">('StacknRoll Strategy Analysis'!$B$2-'Sensitivity Table'!S15)*$F$6+('Hedge Ratio Analysis'!$G$33-'Hedge Ratio Analysis'!$E$33)</f>
        <v>-4340719.6105312351</v>
      </c>
      <c r="T33" s="9">
        <f ca="1">('StacknRoll Strategy Analysis'!$B$2-'Sensitivity Table'!T15)*$F$6+('Hedge Ratio Analysis'!$G$33-'Hedge Ratio Analysis'!$E$33)</f>
        <v>-5007386.2755312352</v>
      </c>
      <c r="U33" s="9">
        <f ca="1">('StacknRoll Strategy Analysis'!$B$2-'Sensitivity Table'!U15)*$F$6+('Hedge Ratio Analysis'!$G$33-'Hedge Ratio Analysis'!$E$33)</f>
        <v>-5674052.9405312352</v>
      </c>
      <c r="V33" s="9">
        <f ca="1">('StacknRoll Strategy Analysis'!$B$2-'Sensitivity Table'!V15)*$F$6+('Hedge Ratio Analysis'!$G$33-'Hedge Ratio Analysis'!$E$33)</f>
        <v>-6340719.6055312352</v>
      </c>
      <c r="W33" s="9">
        <f ca="1">('StacknRoll Strategy Analysis'!$B$2-'Sensitivity Table'!W15)*$F$6+('Hedge Ratio Analysis'!$G$33-'Hedge Ratio Analysis'!$E$33)</f>
        <v>-7007386.2705312353</v>
      </c>
    </row>
    <row r="34" spans="2:23" x14ac:dyDescent="0.45">
      <c r="B34">
        <v>0.95</v>
      </c>
      <c r="C34" s="9">
        <f ca="1">('StacknRoll Strategy Analysis'!$B$2-'Sensitivity Table'!C15)*$F$6+('Hedge Ratio Analysis'!$G$34-'Hedge Ratio Analysis'!$E$34)</f>
        <v>6307018.161661475</v>
      </c>
      <c r="D34" s="9">
        <f ca="1">('StacknRoll Strategy Analysis'!$B$2-'Sensitivity Table'!D15)*$F$6+('Hedge Ratio Analysis'!$G$34-'Hedge Ratio Analysis'!$E$34)</f>
        <v>5640351.4966614749</v>
      </c>
      <c r="E34" s="9">
        <f ca="1">('StacknRoll Strategy Analysis'!$B$2-'Sensitivity Table'!E15)*$F$6+('Hedge Ratio Analysis'!$G$34-'Hedge Ratio Analysis'!$E$34)</f>
        <v>4973684.8316614749</v>
      </c>
      <c r="F34" s="9">
        <f ca="1">('StacknRoll Strategy Analysis'!$B$2-'Sensitivity Table'!F15)*$F$6+('Hedge Ratio Analysis'!$G$34-'Hedge Ratio Analysis'!$E$34)</f>
        <v>4307018.1666614749</v>
      </c>
      <c r="G34" s="9">
        <f ca="1">('StacknRoll Strategy Analysis'!$B$2-'Sensitivity Table'!G15)*$F$6+('Hedge Ratio Analysis'!$G$34-'Hedge Ratio Analysis'!$E$34)</f>
        <v>3640351.5016614748</v>
      </c>
      <c r="H34" s="9">
        <f ca="1">('StacknRoll Strategy Analysis'!$B$2-'Sensitivity Table'!H15)*$F$6+('Hedge Ratio Analysis'!$G$34-'Hedge Ratio Analysis'!$E$34)</f>
        <v>2973684.8366614748</v>
      </c>
      <c r="I34" s="9">
        <f ca="1">('StacknRoll Strategy Analysis'!$B$2-'Sensitivity Table'!I15)*$F$6+('Hedge Ratio Analysis'!$G$34-'Hedge Ratio Analysis'!$E$34)</f>
        <v>2307018.1716614747</v>
      </c>
      <c r="J34" s="9">
        <f ca="1">('StacknRoll Strategy Analysis'!$B$2-'Sensitivity Table'!J15)*$F$6+('Hedge Ratio Analysis'!$G$34-'Hedge Ratio Analysis'!$E$34)</f>
        <v>1640351.5066614747</v>
      </c>
      <c r="K34" s="9">
        <f ca="1">('StacknRoll Strategy Analysis'!$B$2-'Sensitivity Table'!K15)*$F$6+('Hedge Ratio Analysis'!$G$34-'Hedge Ratio Analysis'!$E$34)</f>
        <v>973684.84166147467</v>
      </c>
      <c r="L34" s="9">
        <f ca="1">('StacknRoll Strategy Analysis'!$B$2-'Sensitivity Table'!L15)*$F$6+('Hedge Ratio Analysis'!$G$34-'Hedge Ratio Analysis'!$E$34)</f>
        <v>307018.17666147463</v>
      </c>
      <c r="M34" s="9">
        <f ca="1">('StacknRoll Strategy Analysis'!$B$2-'Sensitivity Table'!M15)*$F$6+('Hedge Ratio Analysis'!$G$34-'Hedge Ratio Analysis'!$E$34)</f>
        <v>-359648.48833852541</v>
      </c>
      <c r="N34" s="9">
        <f ca="1">('StacknRoll Strategy Analysis'!$B$2-'Sensitivity Table'!N15)*$F$6+('Hedge Ratio Analysis'!$G$34-'Hedge Ratio Analysis'!$E$34)</f>
        <v>-1026315.1533385254</v>
      </c>
      <c r="O34" s="9">
        <f ca="1">('StacknRoll Strategy Analysis'!$B$2-'Sensitivity Table'!O15)*$F$6+('Hedge Ratio Analysis'!$G$34-'Hedge Ratio Analysis'!$E$34)</f>
        <v>-1692981.8183385255</v>
      </c>
      <c r="P34" s="9">
        <f ca="1">('StacknRoll Strategy Analysis'!$B$2-'Sensitivity Table'!P15)*$F$6+('Hedge Ratio Analysis'!$G$34-'Hedge Ratio Analysis'!$E$34)</f>
        <v>-2359648.4833385255</v>
      </c>
      <c r="Q34" s="9">
        <f ca="1">('StacknRoll Strategy Analysis'!$B$2-'Sensitivity Table'!Q15)*$F$6+('Hedge Ratio Analysis'!$G$34-'Hedge Ratio Analysis'!$E$34)</f>
        <v>-3026315.1483385256</v>
      </c>
      <c r="R34" s="9">
        <f ca="1">('StacknRoll Strategy Analysis'!$B$2-'Sensitivity Table'!R15)*$F$6+('Hedge Ratio Analysis'!$G$34-'Hedge Ratio Analysis'!$E$34)</f>
        <v>-3692981.8133385256</v>
      </c>
      <c r="S34" s="9">
        <f ca="1">('StacknRoll Strategy Analysis'!$B$2-'Sensitivity Table'!S15)*$F$6+('Hedge Ratio Analysis'!$G$34-'Hedge Ratio Analysis'!$E$34)</f>
        <v>-4359648.4783385256</v>
      </c>
      <c r="T34" s="9">
        <f ca="1">('StacknRoll Strategy Analysis'!$B$2-'Sensitivity Table'!T15)*$F$6+('Hedge Ratio Analysis'!$G$34-'Hedge Ratio Analysis'!$E$34)</f>
        <v>-5026315.1433385257</v>
      </c>
      <c r="U34" s="9">
        <f ca="1">('StacknRoll Strategy Analysis'!$B$2-'Sensitivity Table'!U15)*$F$6+('Hedge Ratio Analysis'!$G$34-'Hedge Ratio Analysis'!$E$34)</f>
        <v>-5692981.8083385257</v>
      </c>
      <c r="V34" s="9">
        <f ca="1">('StacknRoll Strategy Analysis'!$B$2-'Sensitivity Table'!V15)*$F$6+('Hedge Ratio Analysis'!$G$34-'Hedge Ratio Analysis'!$E$34)</f>
        <v>-6359648.4733385257</v>
      </c>
      <c r="W34" s="9">
        <f ca="1">('StacknRoll Strategy Analysis'!$B$2-'Sensitivity Table'!W15)*$F$6+('Hedge Ratio Analysis'!$G$34-'Hedge Ratio Analysis'!$E$34)</f>
        <v>-7026315.1383385258</v>
      </c>
    </row>
    <row r="35" spans="2:23" x14ac:dyDescent="0.45">
      <c r="B35">
        <v>1</v>
      </c>
      <c r="C35" s="9">
        <f ca="1">('StacknRoll Strategy Analysis'!$B$2-'Sensitivity Table'!C15)*$F$6+('Hedge Ratio Analysis'!$G$35-'Hedge Ratio Analysis'!$E$35)</f>
        <v>6288089.2938541844</v>
      </c>
      <c r="D35" s="9">
        <f ca="1">('StacknRoll Strategy Analysis'!$B$2-'Sensitivity Table'!D15)*$F$6+('Hedge Ratio Analysis'!$G$35-'Hedge Ratio Analysis'!$E$35)</f>
        <v>5621422.6288541844</v>
      </c>
      <c r="E35" s="9">
        <f ca="1">('StacknRoll Strategy Analysis'!$B$2-'Sensitivity Table'!E15)*$F$6+('Hedge Ratio Analysis'!$G$35-'Hedge Ratio Analysis'!$E$35)</f>
        <v>4954755.9638541844</v>
      </c>
      <c r="F35" s="9">
        <f ca="1">('StacknRoll Strategy Analysis'!$B$2-'Sensitivity Table'!F15)*$F$6+('Hedge Ratio Analysis'!$G$35-'Hedge Ratio Analysis'!$E$35)</f>
        <v>4288089.2988541843</v>
      </c>
      <c r="G35" s="9">
        <f ca="1">('StacknRoll Strategy Analysis'!$B$2-'Sensitivity Table'!G15)*$F$6+('Hedge Ratio Analysis'!$G$35-'Hedge Ratio Analysis'!$E$35)</f>
        <v>3621422.6338541843</v>
      </c>
      <c r="H35" s="9">
        <f ca="1">('StacknRoll Strategy Analysis'!$B$2-'Sensitivity Table'!H15)*$F$6+('Hedge Ratio Analysis'!$G$35-'Hedge Ratio Analysis'!$E$35)</f>
        <v>2954755.9688541843</v>
      </c>
      <c r="I35" s="9">
        <f ca="1">('StacknRoll Strategy Analysis'!$B$2-'Sensitivity Table'!I15)*$F$6+('Hedge Ratio Analysis'!$G$35-'Hedge Ratio Analysis'!$E$35)</f>
        <v>2288089.3038541842</v>
      </c>
      <c r="J35" s="9">
        <f ca="1">('StacknRoll Strategy Analysis'!$B$2-'Sensitivity Table'!J15)*$F$6+('Hedge Ratio Analysis'!$G$35-'Hedge Ratio Analysis'!$E$35)</f>
        <v>1621422.6388541842</v>
      </c>
      <c r="K35" s="9">
        <f ca="1">('StacknRoll Strategy Analysis'!$B$2-'Sensitivity Table'!K15)*$F$6+('Hedge Ratio Analysis'!$G$35-'Hedge Ratio Analysis'!$E$35)</f>
        <v>954755.97385418415</v>
      </c>
      <c r="L35" s="9">
        <f ca="1">('StacknRoll Strategy Analysis'!$B$2-'Sensitivity Table'!L15)*$F$6+('Hedge Ratio Analysis'!$G$35-'Hedge Ratio Analysis'!$E$35)</f>
        <v>288089.30885418411</v>
      </c>
      <c r="M35" s="9">
        <f ca="1">('StacknRoll Strategy Analysis'!$B$2-'Sensitivity Table'!M15)*$F$6+('Hedge Ratio Analysis'!$G$35-'Hedge Ratio Analysis'!$E$35)</f>
        <v>-378577.35614581592</v>
      </c>
      <c r="N35" s="9">
        <f ca="1">('StacknRoll Strategy Analysis'!$B$2-'Sensitivity Table'!N15)*$F$6+('Hedge Ratio Analysis'!$G$35-'Hedge Ratio Analysis'!$E$35)</f>
        <v>-1045244.021145816</v>
      </c>
      <c r="O35" s="9">
        <f ca="1">('StacknRoll Strategy Analysis'!$B$2-'Sensitivity Table'!O15)*$F$6+('Hedge Ratio Analysis'!$G$35-'Hedge Ratio Analysis'!$E$35)</f>
        <v>-1711910.686145816</v>
      </c>
      <c r="P35" s="9">
        <f ca="1">('StacknRoll Strategy Analysis'!$B$2-'Sensitivity Table'!P15)*$F$6+('Hedge Ratio Analysis'!$G$35-'Hedge Ratio Analysis'!$E$35)</f>
        <v>-2378577.351145816</v>
      </c>
      <c r="Q35" s="9">
        <f ca="1">('StacknRoll Strategy Analysis'!$B$2-'Sensitivity Table'!Q15)*$F$6+('Hedge Ratio Analysis'!$G$35-'Hedge Ratio Analysis'!$E$35)</f>
        <v>-3045244.0161458161</v>
      </c>
      <c r="R35" s="9">
        <f ca="1">('StacknRoll Strategy Analysis'!$B$2-'Sensitivity Table'!R15)*$F$6+('Hedge Ratio Analysis'!$G$35-'Hedge Ratio Analysis'!$E$35)</f>
        <v>-3711910.6811458161</v>
      </c>
      <c r="S35" s="9">
        <f ca="1">('StacknRoll Strategy Analysis'!$B$2-'Sensitivity Table'!S15)*$F$6+('Hedge Ratio Analysis'!$G$35-'Hedge Ratio Analysis'!$E$35)</f>
        <v>-4378577.3461458161</v>
      </c>
      <c r="T35" s="9">
        <f ca="1">('StacknRoll Strategy Analysis'!$B$2-'Sensitivity Table'!T15)*$F$6+('Hedge Ratio Analysis'!$G$35-'Hedge Ratio Analysis'!$E$35)</f>
        <v>-5045244.0111458162</v>
      </c>
      <c r="U35" s="9">
        <f ca="1">('StacknRoll Strategy Analysis'!$B$2-'Sensitivity Table'!U15)*$F$6+('Hedge Ratio Analysis'!$G$35-'Hedge Ratio Analysis'!$E$35)</f>
        <v>-5711910.6761458162</v>
      </c>
      <c r="V35" s="9">
        <f ca="1">('StacknRoll Strategy Analysis'!$B$2-'Sensitivity Table'!V15)*$F$6+('Hedge Ratio Analysis'!$G$35-'Hedge Ratio Analysis'!$E$35)</f>
        <v>-6378577.3411458163</v>
      </c>
      <c r="W35" s="9">
        <f ca="1">('StacknRoll Strategy Analysis'!$B$2-'Sensitivity Table'!W15)*$F$6+('Hedge Ratio Analysis'!$G$35-'Hedge Ratio Analysis'!$E$35)</f>
        <v>-7045244.0061458163</v>
      </c>
    </row>
    <row r="36" spans="2:23" x14ac:dyDescent="0.45">
      <c r="M36" s="9"/>
      <c r="P36" s="9"/>
    </row>
    <row r="42" spans="2:23" x14ac:dyDescent="0.45">
      <c r="C42" s="6"/>
    </row>
  </sheetData>
  <mergeCells count="2">
    <mergeCell ref="C14:L14"/>
    <mergeCell ref="N14:W14"/>
  </mergeCells>
  <conditionalFormatting sqref="C16:W35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3c2d036-7d90-4094-9c4a-861a24aadbb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55368188F06D44AE07B19227177296" ma:contentTypeVersion="14" ma:contentTypeDescription="Create a new document." ma:contentTypeScope="" ma:versionID="19d6b9dad7961a36df6500176ef6a549">
  <xsd:schema xmlns:xsd="http://www.w3.org/2001/XMLSchema" xmlns:xs="http://www.w3.org/2001/XMLSchema" xmlns:p="http://schemas.microsoft.com/office/2006/metadata/properties" xmlns:ns3="bc44b7fb-cd89-464e-a975-36230fe5cdf3" xmlns:ns4="23c2d036-7d90-4094-9c4a-861a24aadbb4" targetNamespace="http://schemas.microsoft.com/office/2006/metadata/properties" ma:root="true" ma:fieldsID="8eeae1d084e2b4983b3b8239302220ed" ns3:_="" ns4:_="">
    <xsd:import namespace="bc44b7fb-cd89-464e-a975-36230fe5cdf3"/>
    <xsd:import namespace="23c2d036-7d90-4094-9c4a-861a24aadbb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44b7fb-cd89-464e-a975-36230fe5cdf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c2d036-7d90-4094-9c4a-861a24aadb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75A865-59E9-40E0-8882-8DAF1D47C1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4A1CA0-BDFE-41D0-BE44-8B8B066823C6}">
  <ds:schemaRefs>
    <ds:schemaRef ds:uri="http://purl.org/dc/elements/1.1/"/>
    <ds:schemaRef ds:uri="http://purl.org/dc/terms/"/>
    <ds:schemaRef ds:uri="23c2d036-7d90-4094-9c4a-861a24aadbb4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dcmitype/"/>
    <ds:schemaRef ds:uri="bc44b7fb-cd89-464e-a975-36230fe5cdf3"/>
    <ds:schemaRef ds:uri="http://schemas.microsoft.com/office/2006/documentManagement/typ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D2D5FB9-E14F-4660-BF90-41F0751779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44b7fb-cd89-464e-a975-36230fe5cdf3"/>
    <ds:schemaRef ds:uri="23c2d036-7d90-4094-9c4a-861a24aadb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Price Risk</vt:lpstr>
      <vt:lpstr>Basis Risk</vt:lpstr>
      <vt:lpstr>Liquidity Risk</vt:lpstr>
      <vt:lpstr>Liquidity Squeeze Test</vt:lpstr>
      <vt:lpstr>Testing Button</vt:lpstr>
      <vt:lpstr>Loss At Risk Analysis</vt:lpstr>
      <vt:lpstr>StacknRoll Strategy Analysis</vt:lpstr>
      <vt:lpstr>Hedge Ratio Analysis</vt:lpstr>
      <vt:lpstr>Sensitivity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Grieco</dc:creator>
  <cp:lastModifiedBy>Emiliano Grieco</cp:lastModifiedBy>
  <dcterms:created xsi:type="dcterms:W3CDTF">2025-11-03T05:53:35Z</dcterms:created>
  <dcterms:modified xsi:type="dcterms:W3CDTF">2025-11-17T04:42:59Z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0x010100E355368188F06D44AE07B19227177296</vt:lpwstr>
  </property>
</Properties>
</file>